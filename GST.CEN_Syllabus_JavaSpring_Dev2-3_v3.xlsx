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JavaSpring_Syllabus" sheetId="2" r:id="rId6"/>
    <sheet state="visible" name="JavaSpring_Schedule" sheetId="3" r:id="rId7"/>
    <sheet state="visible" name="Author and Rec of Changes" sheetId="4" r:id="rId8"/>
    <sheet state="hidden" name="DV-IDENTITY-0" sheetId="5" r:id="rId9"/>
    <sheet state="visible" name="Guidelines and Explanation"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tc={075c605b-6250-4314-bb96-0b0948185fb6}</author>
  </authors>
  <commentList>
    <comment authorId="0" xr:uid="{075c605b-6250-4314-bb96-0b0948185fb6}" ref="F13">
      <text>
        <t xml:space="preserve">[Threaded comment]
 Your version of Excel allows you to read this threaded comment; however, any edits to it will get removed if the file is opened in a newer version of Excel. Learn more: https://go.microsoft.com/fwlink/?linkid=870924
Comment:
	mô tả KẾT QUẢ THỰC TẾ (deliverable):
- Là cái nhìn thấy được, “output” cụ thể khi nhân viên thực hiện công việc.
- Mang tính hành vi + sản phẩm rõ ràng, có thể kiểm tra/đánh giá được.
=&gt; Job output phải trả lời câu hỏi: “Nếu kỹ năng này tốt, thì trong công việc thực tế nhân viên tạo ra KẾT QUẢ gì?”
</t>
      </text>
    </comment>
  </commentList>
</comments>
</file>

<file path=xl/sharedStrings.xml><?xml version="1.0" encoding="utf-8"?>
<sst xmlns="http://schemas.openxmlformats.org/spreadsheetml/2006/main" count="692" uniqueCount="425">
  <si>
    <t>Java Spring-Syllabus</t>
  </si>
  <si>
    <t xml:space="preserve">The course goal to focus developers with the skills and mindset required to become senior Java backend engineers, focusing on Spring Boot, AWS, and scalable system design, high-performance applications and solving real-world production issues. </t>
  </si>
  <si>
    <t>Developer will develop the ability to design, optimize, and troubleshoot modern distributed systems effectively.</t>
  </si>
  <si>
    <t>Topic Name</t>
  </si>
  <si>
    <t>JAVA for Dev2-3</t>
  </si>
  <si>
    <t>Training Unit/Chapter</t>
  </si>
  <si>
    <t>Topic Code</t>
  </si>
  <si>
    <t>Day</t>
  </si>
  <si>
    <t>FT_Java</t>
  </si>
  <si>
    <t>Content Outlines</t>
  </si>
  <si>
    <t>Learning Objectives</t>
  </si>
  <si>
    <t>Delivery Type</t>
  </si>
  <si>
    <t>Duration (mins)</t>
  </si>
  <si>
    <t>Trainer</t>
  </si>
  <si>
    <t>Version</t>
  </si>
  <si>
    <t>v3</t>
  </si>
  <si>
    <t>Training Format</t>
  </si>
  <si>
    <t>Date</t>
  </si>
  <si>
    <t>Training Materials / Logistics &amp; General Notes
(Required, For Reference, etc.)</t>
  </si>
  <si>
    <t>Unit 1</t>
  </si>
  <si>
    <t>Java Platform &amp; Language Basics</t>
  </si>
  <si>
    <t>Target Training Audience Job Profile</t>
  </si>
  <si>
    <t>Day 1</t>
  </si>
  <si>
    <t>Software Engineer</t>
  </si>
  <si>
    <t>JVM, JRE, JDK &amp; Data Types
+ JVM Architecture
+ JRE vs JDK
+ Primitive Types &amp; Wrappers
+ String &amp; String Pool
+ Arrays &amp; varargs</t>
  </si>
  <si>
    <t>LO1</t>
  </si>
  <si>
    <t>Target Training Audience Job Rank</t>
  </si>
  <si>
    <t>Dev2 — Fast Track rank-up lên Dev3</t>
  </si>
  <si>
    <t>Template</t>
  </si>
  <si>
    <t>Self-learning</t>
  </si>
  <si>
    <t>Online</t>
  </si>
  <si>
    <t>Target Training Audience Description</t>
  </si>
  <si>
    <t>Developers with 1-3 years of experience working with Java Backend, etc. (~ DEV level 2.5)</t>
  </si>
  <si>
    <t>Required:
• JVM Architecture: https://docs.oracle.com/javase/specs/jvms/se17/html/jvms-2.html
• JVM vs JRE vs JDK: https://www.baeldung.com/jvm-vs-jre-vs-jdk
• Data Types: https://docs.oracle.com/javase/tutorial/java/data/index.html
• String &amp; String Pool: https://www.baeldung.com/java-string-pool
• String Immutability: https://www.baeldung.com/java-string-immutability
• Autoboxing: https://docs.oracle.com/javase/tutorial/java/data/autoboxing.html</t>
  </si>
  <si>
    <t>AUTHORSHIP</t>
  </si>
  <si>
    <t>Assignment</t>
  </si>
  <si>
    <t>Assignment/Lab</t>
  </si>
  <si>
    <t>Course Objectives</t>
  </si>
  <si>
    <t>Required:
• JVM Architecture: https://docs.oracle.com/javase/specs/jvms/se17/html/jvms-2.html
• JVM vs JRE vs JDK: https://www.baeldung.com/jvm-vs-jre-vs-jdk
• Data Types: https://docs.oracle.com/javase/tutorial/java/data/index.html
• String &amp; String Pool: https://www.baeldung.com/java-string-pool
• Autoboxing: https://docs.oracle.com/javase/tutorial/java/data/autoboxing.html</t>
  </si>
  <si>
    <t>TRAINING TOPIC SYLLABUS</t>
  </si>
  <si>
    <t>This topic is to introduce high level Java Framework concepts to engineering employees who have Mid-level Backend Developer  and help them upskill through lessons, examples, and practical exercises specifically designed for real-world project environments at Fsoft.
The topic cover following output standards</t>
  </si>
  <si>
    <t>Day 2</t>
  </si>
  <si>
    <t>Operators &amp; Control Flow
+ Operators
+ Switch expressions
+ Pattern Matching
+ Loops &amp; Stream intro</t>
  </si>
  <si>
    <t>Required:
• Operators: https://docs.oracle.com/javase/tutorial/java/nutsandbolts/operators.html
• Control Flow: https://docs.oracle.com/javase/tutorial/java/nutsandbolts/flow.html
• Switch Expressions: https://docs.oracle.com/javase/tutorial/java/nutsandbolts/switch.html
• Pattern Matching (JLS): https://docs.oracle.com/javase/specs/jls/se17/html/jls-14.html#jls-14.30
• For/While Loops: https://docs.oracle.com/javase/tutorial/java/nutsandbolts/for.html</t>
  </si>
  <si>
    <t>Role</t>
  </si>
  <si>
    <t>Name</t>
  </si>
  <si>
    <t>Account</t>
  </si>
  <si>
    <t>Unit</t>
  </si>
  <si>
    <t>Notes</t>
  </si>
  <si>
    <t>Guides/Review</t>
  </si>
  <si>
    <t>PhonNT1/LinhNT102</t>
  </si>
  <si>
    <t>Virtual</t>
  </si>
  <si>
    <t>Day 3</t>
  </si>
  <si>
    <t>- Lab 1: Implement `StringCalculator` applying String immutability and primitive optimization
  - Input: a string containing a simple arithmetic expression (addition/subtraction)
  - Output: integer result</t>
  </si>
  <si>
    <t>Required:
• String &amp; String Pool: https://www.baeldung.com/java-string-pool
• String Immutability: https://www.baeldung.com/java-string-immutability
• Operators: https://docs.oracle.com/javase/tutorial/java/nutsandbolts/operators.html
• Control Flow: https://docs.oracle.com/javase/tutorial/java/nutsandbolts/flow.html</t>
  </si>
  <si>
    <t>Name of Skills (Select from the link)</t>
  </si>
  <si>
    <t>Unit 2</t>
  </si>
  <si>
    <t>Document Code</t>
  </si>
  <si>
    <t>Creator</t>
  </si>
  <si>
    <t>OOP in Java</t>
  </si>
  <si>
    <t>Day 4</t>
  </si>
  <si>
    <t>Nguyễn Tấn Phôn</t>
  </si>
  <si>
    <t>Classes, Objects, Encapsulation
+ Class structure
+ Access modifiers
+ Encapsulation
+ Records
+ this &amp; super</t>
  </si>
  <si>
    <t>LO2</t>
  </si>
  <si>
    <t>PhonNT1</t>
  </si>
  <si>
    <t>GST.CEN</t>
  </si>
  <si>
    <t>First version</t>
  </si>
  <si>
    <t>Required:
• OOP Concepts: https://docs.oracle.com/javase/tutorial/java/javaOO/index.html
• Constructors: https://www.baeldung.com/java-constructors
• Access Modifiers: https://www.baeldung.com/java-access-modifiers
• Encapsulation: https://www.baeldung.com/java-encapsulation
• Records: https://www.baeldung.com/java-records</t>
  </si>
  <si>
    <t>Reviewer</t>
  </si>
  <si>
    <t>1.0</t>
  </si>
  <si>
    <t>Approver</t>
  </si>
  <si>
    <t>Level of Skill Outcomes
(Select a filter)</t>
  </si>
  <si>
    <t>Skill Priority</t>
  </si>
  <si>
    <t>RECORD OF CHANGES</t>
  </si>
  <si>
    <t>Effective Date</t>
  </si>
  <si>
    <t>Job Outputs</t>
  </si>
  <si>
    <t>*A - Added M - Modified D - Deleted</t>
  </si>
  <si>
    <t>Object-Oriented Programming (OOP)</t>
  </si>
  <si>
    <t>Level 3: Advanced</t>
  </si>
  <si>
    <t>Primary</t>
  </si>
  <si>
    <t>Current:
- Writes functional Java code with basic OOP and applies common design patterns (Strategy, Factory).
- Uses basic concurrency features (thread pool, CompletableFuture) but limited in debugging concurrency issues.
Future:
- Designs clean, extensible, and maintainable code with solid architecture principles (SOLID, clean boundaries).
- Understands and resolves concurrency problems (race condition, deadlock) and optimizes async processing.</t>
  </si>
  <si>
    <t>Changes</t>
  </si>
  <si>
    <t>A*
M, D</t>
  </si>
  <si>
    <t>Contents</t>
  </si>
  <si>
    <t>Day 5</t>
  </si>
  <si>
    <t>Inheritance, Polymorphism &amp; Abstract
+ Inheritance
+ Method Overriding
+ Method Overloading
+ Polymorphism
+ Abstract class</t>
  </si>
  <si>
    <t>Spring Framework</t>
  </si>
  <si>
    <t>Required:
• Inheritance: https://www.baeldung.com/java-inheritance
• Polymorphism: https://www.baeldung.com/java-polymorphism
• Abstract Class: https://www.baeldung.com/java-abstract-class
• Override/Overloading: https://www.baeldung.com/java-method-overloading-riding</t>
  </si>
  <si>
    <t>Current:
- Builds REST APIs with standard structure (Controller, Service, Repository).
- Implements validation, pagination, and basic exception handling.
Future:
- Designs production-ready APIs with clear contracts, idempotency, and error handling strategy.
- Applies clean architecture (layered/hexagonal) and optimizes application structure for scalability and maintainability.</t>
  </si>
  <si>
    <t>Create new</t>
  </si>
  <si>
    <t>A</t>
  </si>
  <si>
    <t>Syllabus of Java Spring</t>
  </si>
  <si>
    <t>System Design</t>
  </si>
  <si>
    <t>Level 2: Intermediate</t>
  </si>
  <si>
    <t>Day 6</t>
  </si>
  <si>
    <t>- Assignment 2: Employee Management System
  - Base `Employee` abstract (id, name, baseSalary) + method `calculateSalary()` abstract
  - Subclass: `Developer` (overtimeHours, bonusRate), `Manager` (teamSize, kpiMultiplier)
  - `PayrollService` calculates total salary using polymorphism
  - Uses a Record for `EmployeeDTO`
  - Unit tests verify the correctness of each salary type</t>
  </si>
  <si>
    <t>Secondary</t>
  </si>
  <si>
    <t>Required:
• OOP Concepts: https://docs.oracle.com/javase/tutorial/java/javaOO/index.html
• Inheritance: https://www.baeldung.com/java-inheritance
• Polymorphism: https://www.baeldung.com/java-polymorphism
• Abstract Class: https://www.baeldung.com/java-abstract-class</t>
  </si>
  <si>
    <t>Unit 3</t>
  </si>
  <si>
    <t>Interface, Generics, Collections &amp; Exception</t>
  </si>
  <si>
    <t>Day 7</t>
  </si>
  <si>
    <t>Interface, Inner Classes &amp; Enums
+ Interface
+ Abstract vs Interface
+ Inner Classes
+ Enums
+ SOLID Principles</t>
  </si>
  <si>
    <t>LO3</t>
  </si>
  <si>
    <t>Current:
- Understands basic service separation and can build simple microservices.
- Has limited experience with distributed system challenges.
Future:
- Designs scalable microservices architecture with proper boundaries and communication patterns.
- Applies distributed system concepts (event-driven, eventual consistency, retry, idempotency, fault tolerance).</t>
  </si>
  <si>
    <t>Required:
• Interface &amp; Inheritance: https://docs.oracle.com/javase/tutorial/java/IandI/index.html
• Java Interface: https://www.baeldung.com/java-interface
• Inner Classes &amp; Enums: https://www.baeldung.com/java-inner-class-enums
• Enum: https://www.baeldung.com/java-enum
• SOLID Principles: https://www.baeldung.com/java-solid-principles</t>
  </si>
  <si>
    <t>Required:
• Interface &amp; Inheritance: https://docs.oracle.com/javase/tutorial/java/IandI/index.html
• Java Interface: https://www.baeldung.com/java-interface
• Inner Classes &amp; Enums: https://www.baeldung.com/java-inner-class-enums
• SOLID Principles: https://www.baeldung.com/java-solid-principles</t>
  </si>
  <si>
    <t>Day 8</t>
  </si>
  <si>
    <t>Generics, Collections &amp; Exception Handling
+ Generics
+ List implementations
+ Set/Map
+ Exception hierarchy
+ try-with-resources</t>
  </si>
  <si>
    <t>Required:
• Generics: https://docs.oracle.com/javase/tutorial/java/generics/index.html
• Java Generics: https://www.baeldung.com/java-generics
• Collections: https://docs.oracle.com/javase/tutorial/collections/index.html
• Java Collections: https://www.baeldung.com/java-collections
• Exceptions: https://docs.oracle.com/javase/tutorial/essential/exceptions/index.html
• Java Exceptions: https://www.baeldung.com/java-exceptions
• Try-with-resources: https://www.baeldung.com/java-try-with-resources</t>
  </si>
  <si>
    <t>Day 9</t>
  </si>
  <si>
    <t>- Lab 3: Custom Collection &amp; Exception Framework
  - Implement `SimpleArrayList&lt;E&gt;` with dynamic array (add, get, remove, size, iterator)
  - Implement `SimpleHashMap&lt;K,V&gt;` with separate chaining
  - Custom exception hierarchy: `DataAccessException` → `DuplicatedKeyException`, `KeyNotFoundException`
  - Test coverage ≥ 80%</t>
  </si>
  <si>
    <t>LO - Codes</t>
  </si>
  <si>
    <t>Learning Outcomes (LO)</t>
  </si>
  <si>
    <t>Required:
• Generics: https://docs.oracle.com/javase/tutorial/java/generics/index.html
• Collections: https://docs.oracle.com/javase/tutorial/collections/index.html
• Java Collections: https://www.baeldung.com/java-collections
• Exceptions: https://www.baeldung.com/java-exceptions
• Try-with-resources: https://www.baeldung.com/java-try-with-resources</t>
  </si>
  <si>
    <t>Bloom Level</t>
  </si>
  <si>
    <t>Current–Future Balance
(70% of learning time focuses on current needs, and 30% on future needs)</t>
  </si>
  <si>
    <t>Unit 4</t>
  </si>
  <si>
    <t>Stream API, Concurrency &amp; File I/O</t>
  </si>
  <si>
    <t>Day 10</t>
  </si>
  <si>
    <t>Lambda &amp; Stream API Chuyên Sâu
+ Lambda &amp; Functional Interface
+ Stream pipeline
+ Collectors
+ Optional deep dive
+ Parallel Stream</t>
  </si>
  <si>
    <t>LO4</t>
  </si>
  <si>
    <t>Explain the roles of the JVM, JRE, and JDK; use Java data types, operators, arrays, control flow, switch expressions, and varargs to describe the implementation and testing of a StringCalculator for defined addition and subtraction inputs.</t>
  </si>
  <si>
    <t>Required:
• Lambda &amp; Functional Interface: https://www.baeldung.com/java-functional-interface
• Stream Filter &amp; Lambda: https://www.baeldung.com/java-stream-filter-lambda
• Stream API: https://www.baeldung.com/java-stream
• Java Streams: https://www.baeldung.com/java-streams
• Collectors: https://www.baeldung.com/java-stream-collectors</t>
  </si>
  <si>
    <t>B2 – Understand</t>
  </si>
  <si>
    <t>Current Needs</t>
  </si>
  <si>
    <t>Required:
• Lambda &amp; Functional Interface: https://www.baeldung.com/java-functional-interface
• Stream API: https://www.baeldung.com/java-stream
• Java Streams: https://www.baeldung.com/java-streams
• Collectors: https://www.baeldung.com/java-stream-collectors</t>
  </si>
  <si>
    <t>Implement and unit-test an employee payroll model using encapsulated classes and records, inheritance, abstraction, overriding, overloading and polymorphism.</t>
  </si>
  <si>
    <t>B3 – Apply</t>
  </si>
  <si>
    <t>Day 11</t>
  </si>
  <si>
    <t>Concurrency &amp; File I/O
+ Thread fundamentals
+ synchronized &amp; volatile
+ ExecutorService
+ NIO &amp; File I/O
+ Serialization</t>
  </si>
  <si>
    <t>Select an interface or abstract class for a stated design; use generics and Java collections safely; implement a generic collection with a defined exception hierarchy and tests for core operations and error cases.</t>
  </si>
  <si>
    <t>Required:
• Thread Fundamentals: https://www.baeldung.com/java-thread-lifecycle
• Synchronized: https://www.baeldung.com/java-synchronized
• Volatile: https://www.baeldung.com/java-volatile
• Synchronization (Oracle): https://docs.oracle.com/javase/tutorial/essential/concurrency/sync.html
• ExecutorService: https://docs.oracle.com/javase/tutorial/essential/concurrency/executors.html
• File I/O: https://docs.oracle.com/javase/tutorial/essential/io/fileio.html
• Java I/O: https://www.baeldung.com/java-io
• NIO.2 File API: https://www.baeldung.com/java-nio-2-file-api
• Serialization: https://www.baeldung.com/java-serialization</t>
  </si>
  <si>
    <t>B4 – Analyze</t>
  </si>
  <si>
    <t>Build a Java data-processing pipeline that reads CSV data with NIO, filters, groups, aggregates and sorts records with Streams, produces JSON output, and analyzes sequential and parallel execution under stated benchmark conditions.</t>
  </si>
  <si>
    <t>Day 12</t>
  </si>
  <si>
    <t>- Assignment 4: Data Processing Pipeline
  - Read file CSV 500K rows (simulated sales data)
  - Stream transform: filter invalid → group by category → aggregate revenue → sort top 10
  - Parallel vs sequential benchmark (JMH)
  - Thread-safe result accumulator
  - Export report ra JSON</t>
  </si>
  <si>
    <t>Required:
• Stream API: https://www.baeldung.com/java-stream
• Collectors: https://www.baeldung.com/java-stream-collectors
• File I/O: https://docs.oracle.com/javase/tutorial/essential/io/fileio.html
• Java I/O: https://www.baeldung.com/java-io
• NIO.2 File API: https://www.baeldung.com/java-nio-2-file-api</t>
  </si>
  <si>
    <t>Unit 5</t>
  </si>
  <si>
    <t>Spring Boot Core &amp; IoC Container</t>
  </si>
  <si>
    <t>LO5</t>
  </si>
  <si>
    <t>Configure Spring beans, scopes, lifecycle, profiles and type-safe properties; use constructor injection and explicit bean selection to implement and test multiple notification-service implementations.</t>
  </si>
  <si>
    <t>Day 13</t>
  </si>
  <si>
    <t>Spring Boot Fundamentals &amp; Bean Lifecycle
+ Spring Boot Architecture
+ IoC Container
+ Bean scopes
+ Bean lifecycle
+ Stereotype annotations</t>
  </si>
  <si>
    <t>Required:
• IoC Container: https://docs.spring.io/spring-framework/reference/core/beans/introduction.html
• Bean Scopes: https://docs.spring.io/spring-framework/reference/core/beans/factory-scopes.html
• Spring Boot Overview: https://www.baeldung.com/spring-boot</t>
  </si>
  <si>
    <t>LO6</t>
  </si>
  <si>
    <t>Build and test a Spring MVC CRUD API with correct request mapping, HTTP responses, content negotiation, request validation, service-level state-transition checks and standardized ProblemDetail error responses.</t>
  </si>
  <si>
    <t>LO7</t>
  </si>
  <si>
    <t>Model and test an e-commerce data layer with JPA entities and relationships; justify cascade and fetch choices; implement transactional repository queries, Flyway migrations and persistence tests.</t>
  </si>
  <si>
    <t>Day 14</t>
  </si>
  <si>
    <t>Dependency Injection &amp; Configuration
+ DI Types
+ @Autowired resolution
+ @Configuration &amp; @Bean
+ @ConfigurationProperties
+ Profiles</t>
  </si>
  <si>
    <t>LO8</t>
  </si>
  <si>
    <t>Implement and integration-test stateless authentication and role-based authorization; analyze an N+1 query, select an optimization and compare behavior before and after the change.</t>
  </si>
  <si>
    <t>Required:
• Bean Scopes: https://docs.spring.io/spring-framework/reference/core/beans/factory-scopes.html
• IoC &amp; DI: https://www.baeldung.com/inversion-control-and-dependency-injection-in-spring
• Auto-configuration: https://docs.spring.io/spring-boot/reference/using/auto-configuration.html</t>
  </si>
  <si>
    <t>LO9</t>
  </si>
  <si>
    <t>Implement and test Redis-backed caching and eviction, scheduled processing, asynchronous notification, secure file handling, CSV export and a resilient WebClient call to a mock payment service.</t>
  </si>
  <si>
    <t>Day 15</t>
  </si>
  <si>
    <t>- Assignment 5: Multi-module Notification Service
  - Interface `NotificationService` → EmailSender, SmsSender, PushSender
  - @Qualifier or @Profile select implementation 
  - @ConfigurationProperties for each config (SMTP, Twilio, Firebase)
  - Retry logic when send fail
  - The Factory pattern creates the correct sender based on the notification type.</t>
  </si>
  <si>
    <t>LO10</t>
  </si>
  <si>
    <t>Analyze the production readiness of a Spring Boot service using evidence from automated tests, API documentation, structured logs, health checks and metrics; resolve identified gaps and package the verified application with Docker Compose and CI.</t>
  </si>
  <si>
    <t>Future Needs</t>
  </si>
  <si>
    <t>Required:
• @ConfigurationProperties: https://www.baeldung.com/configuration-properties-in-spring-boot
• External Config: https://docs.spring.io/spring-boot/reference/features/external-config.html
• IoC Container: https://docs.spring.io/spring-framework/reference/core/beans/introduction.html</t>
  </si>
  <si>
    <t>Unit 6</t>
  </si>
  <si>
    <t>LO11</t>
  </si>
  <si>
    <t>Spring MVC — In-Depth REST API</t>
  </si>
  <si>
    <t>Analyze architecture and API design alternatives against scalability, security, maintainability, and delivery constraints; compare design trade-offs, identify potential risks and impacts, and implement and test the Sprint 1 scope based on the analyzed requirements</t>
  </si>
  <si>
    <t>Day 16</t>
  </si>
  <si>
    <t>Controller &amp; Request/Response
+ @RestController
+ Request mapping
+ Parameter handling
+ ResponseEntity
+ Content negotiation</t>
  </si>
  <si>
    <t>Required:
• Request Mapping: https://docs.spring.io/spring-framework/reference/web/webmvc/mvc-controller/ann-requestmapping.html
• Spring RequestMapping: https://www.baeldung.com/spring-requestmapping
• ResponseEntity: https://www.baeldung.com/spring-response-entity</t>
  </si>
  <si>
    <t>LO12</t>
  </si>
  <si>
    <t>Analyze the completed solution against functional, security, performance, reliability, and maintainability criteria; examine evidence from source code, tests, logs, and metrics to identify strengths, weaknesses, and improvement opportunities.</t>
  </si>
  <si>
    <t>Day 17</t>
  </si>
  <si>
    <t>Validation &amp; Exception Handling
+ Bean Validation
+ Custom Validator
+ @RestControllerAdvice
+ ProblemDetail (RFC 9457)
+ Business Exception hierarchy</t>
  </si>
  <si>
    <t>Required:
• Bean Validation: https://www.baeldung.com/spring-boot-bean-validation
• Custom Validator: https://www.baeldung.com/spring-mvc-custom-validator
• ProblemDetail (RFC 9457): https://www.baeldung.com/spring-boot-return-errors-problemdetail</t>
  </si>
  <si>
    <t>Day 18</t>
  </si>
  <si>
    <t>- Lab 6: User &amp; Task Management API
  - CRUD Task: title, description, status (TODO/IN_PROGRESS/DONE), priority, dueDate
  - Validation: title notBlank, dueDate in future, valid status transition
  - Custom validator: @ValidStatusTransition
  - Global exception handler ProblemDetail
  - Postman collection export</t>
  </si>
  <si>
    <t>Required:
• Request Mapping: https://docs.spring.io/spring-framework/reference/web/webmvc/mvc-controller/ann-requestmapping.html
• Custom Validator: https://www.baeldung.com/spring-mvc-custom-validator
• ProblemDetail: https://www.baeldung.com/spring-boot-return-errors-problemdetail</t>
  </si>
  <si>
    <t>Unit 7</t>
  </si>
  <si>
    <t>Spring Data JPA &amp; Database</t>
  </si>
  <si>
    <t>Day 19</t>
  </si>
  <si>
    <t>Entity Design &amp; Relationships
+ Entity mapping
+ Relationships
+ @ManyToMany
+ Cascade &amp; Orphan Removal
+ FetchType</t>
  </si>
  <si>
    <t>Required:
• JPA Entities: https://www.baeldung.com/jpa-entities
• JPA Associations: https://www.baeldung.com/jpa-hibernate-associations
• JPA Cascade Types: https://www.baeldung.com/jpa-cascade-types
• Lazy/Eager Loading: https://www.baeldung.com/hibernate-lazy-eager-loading</t>
  </si>
  <si>
    <t>Topic Outline</t>
  </si>
  <si>
    <t>Required:
• JPA Entities: https://www.baeldung.com/jpa-entities
• JPA Associations: https://www.baeldung.com/jpa-hibernate-associations
• Lazy/Eager Loading: https://www.baeldung.com/hibernate-lazy-eager-loading</t>
  </si>
  <si>
    <t>Name of Skills 
(Same skill list in row 13)</t>
  </si>
  <si>
    <t>Day 20</t>
  </si>
  <si>
    <t>Query, Transaction &amp; Patterns
+ Repository
+ Pagination &amp; Sort
+ Projection
+ @Transactional
+ Auditing</t>
  </si>
  <si>
    <t>Required:
• JPA Cascade Types: https://www.baeldung.com/jpa-cascade-types
• Lazy/Eager Loading: https://www.baeldung.com/hibernate-lazy-eager-loading
• JPA Pagination &amp; Sorting: https://www.baeldung.com/spring-data-jpa-pagination-sorting
• Database Auditing: https://www.baeldung.com/database-auditing-jpa</t>
  </si>
  <si>
    <t>Unit 1: Java Platform &amp; Language Basics
Unit 2: OOP in Java
Unit 3: Interface, Generics, Collections &amp; Exception
Unit 4: Stream API, Concurrency &amp; File I/O</t>
  </si>
  <si>
    <t>Day 21</t>
  </si>
  <si>
    <t>- Assignment 7: E-Commerce Data Layer
  - Entities: User, Product, Category, Order, OrderItem
  - Full relationships + cascade correct
  - Repository query: top-selling products, orders by date range, user history
  - Flyway migration (V1__init.sql → V2__seed_data.sql)
  - @DataJpaTest integration test</t>
  </si>
  <si>
    <t>Required:
• JPA Pagination &amp; Sorting: https://www.baeldung.com/spring-data-jpa-pagination-sorting
• Database Auditing: https://www.baeldung.com/database-auditing-jpa
• Spring Data Repositories: https://docs.spring.io/spring-data/jpa/reference/repositories.html</t>
  </si>
  <si>
    <t>Unit 8</t>
  </si>
  <si>
    <t>Unit 5: Spring Boot Core &amp; IoC Container
Unit 6: Spring MVC – In-Depth REST API
Unit 7: Spring Data JPA &amp; Database
Unit 8: Spring Security &amp; JPA Performance
Unit 9: Caching, Async, File Handling &amp; External API
Unit 10: Testing, Documentation, Monitoring &amp; Docker</t>
  </si>
  <si>
    <t>Spring Security &amp; JPA Performance</t>
  </si>
  <si>
    <t>Day 22</t>
  </si>
  <si>
    <t>Authentication with Spring Security + JWT
+ Security Architecture
+ JWT Structure
+ JWT Flow
+ Stateless Session
+ Password Encoding</t>
  </si>
  <si>
    <t>Required:
• JWT with Spring Security: https://docs.spring.io/spring-security/reference/servlet/oauth2/resource-server/jwt.html
• Password Storage: https://docs.spring.io/spring-security/reference/features/authentication/password-storage.html
• Stateless Session: https://docs.spring.io/spring-security/reference/servlet/authentication/session-management.html</t>
  </si>
  <si>
    <t>Unit 11: Project Planning &amp; Implementation
Unit 12: Implementation Sprint &amp; Final Defense</t>
  </si>
  <si>
    <t>Day 23</t>
  </si>
  <si>
    <t>Authorization &amp; JPA Performance
+ Method Security
+ CORS &amp; CSRF
+ N+1 Problem
+ Batch fetching
+ Soft Delete</t>
  </si>
  <si>
    <t>Required:
• Method Security: https://www.baeldung.com/spring-security-method-security
• CSRF Protection: https://www.baeldung.com/spring-security-csrf
• CSRF (Official): https://docs.spring.io/spring-security/reference/servlet/exploits/csrf.html
• N+1 Problem: https://vladmihalcea.com/n-plus-1-query-problem/</t>
  </si>
  <si>
    <t>Day 24</t>
  </si>
  <si>
    <t>- Lab 8: Auth Service + Performance Optimization
  - Register + Login + Refresh + Logout (Redis blacklist)
  - @PreAuthorize role-based: CUSTOMER vs ADMIN
  - Product list API: fix N+1 when load category
  - Benchmark before/after optimize
  - Security integration test with @WithMockUser</t>
  </si>
  <si>
    <t>Required:
• JWT with Spring Security: https://docs.spring.io/spring-security/reference/servlet/oauth2/resource-server/jwt.html
• N+1 Problem: https://vladmihalcea.com/n-plus-1-query-problem/
• Hibernate Soft Delete: https://vladmihalcea.com/hibernate-softdelete-annotation/
• Batch Insert/Update: https://vladmihalcea.com/how-to-batch-insert-and-update-statements-with-hibernate/</t>
  </si>
  <si>
    <t>Unit 9</t>
  </si>
  <si>
    <t>Caching, Async, File Handling &amp; External API</t>
  </si>
  <si>
    <t>Day 25</t>
  </si>
  <si>
    <t>Caching &amp; Async Processing
+ Spring Cache
+ Redis Cache
+ Cache Patterns
+ @Async
+ @Scheduled</t>
  </si>
  <si>
    <t>Time Allocation</t>
  </si>
  <si>
    <t>Required:
• Spring Cache: https://www.baeldung.com/spring-cache-tutorial
• Getting Started with Caching: https://spring.io/guides/gs/caching
• Redis Cache (Spring Data): https://docs.spring.io/spring-data/redis/reference/redis/redis-cache.html</t>
  </si>
  <si>
    <t>Concept/Lecture</t>
  </si>
  <si>
    <t>Required:
• Spring Cache: https://www.baeldung.com/spring-cache-tutorial
• Redis Cache: https://www.baeldung.com/spring-boot-redis-cache
• Getting Started with Caching: https://spring.io/guides/gs/caching</t>
  </si>
  <si>
    <t>Day 26</t>
  </si>
  <si>
    <t>&lt;Concepts, theory&gt;</t>
  </si>
  <si>
    <t>File Upload/Download &amp; External API
+ Multipart Upload
+ Download
+ WebClient
+ Resilience
+ CSV/Excel Export</t>
  </si>
  <si>
    <t>&lt;5400 minutes&gt;</t>
  </si>
  <si>
    <t>Required:
• File Upload: https://www.baeldung.com/spring-file-upload
• Uploading Files Guide: https://spring.io/guides/gs/uploading-files
• WebClient: https://www.baeldung.com/spring-5-webclient
• Circuit Breaker: https://www.baeldung.com/spring-boot-circuit-breaker-vs-retry
• Java CSV: https://www.baeldung.com/java-csv</t>
  </si>
  <si>
    <t>&lt;Self-learning&gt;</t>
  </si>
  <si>
    <t>Day 27</t>
  </si>
  <si>
    <t>- Assignment 9: Product &amp; Order Features
  - Cache product list, category tree. Evict on create/update/delete.
  - @Async: order confirmation email, inventory update
  - @Scheduled: cancel pending orders &gt; 30 min
  - Product image upload + thumbnail
  - WebClient call payment gateway (mock) with circuit breaker
  - Export orders CSV (admin)</t>
  </si>
  <si>
    <t>Required:
• Spring Cache: https://www.baeldung.com/spring-cache-tutorial
• Redis Cache: https://www.baeldung.com/spring-boot-redis-cache
• @Async: https://www.baeldung.com/spring-async
• @Scheduled: https://www.baeldung.com/spring-scheduled-tasks
• File Upload: https://www.baeldung.com/spring-file-upload
• WebClient: https://www.baeldung.com/spring-5-webclient
• Resilience4j: https://www.baeldung.com/spring-boot-resilience4j</t>
  </si>
  <si>
    <t>Seminar/Workshop</t>
  </si>
  <si>
    <t>Unit 10</t>
  </si>
  <si>
    <t>&lt;Seminar/Workshop&gt;</t>
  </si>
  <si>
    <t>Testing, Documentation, Monitoring &amp; Docker</t>
  </si>
  <si>
    <t>Day 28</t>
  </si>
  <si>
    <t>Testing Spring Boot
+ Unit Testing
+ @WebMvcTest
+ @DataJpaTest
+ Integration Test
+ Testcontainers</t>
  </si>
  <si>
    <t>Class Meeting</t>
  </si>
  <si>
    <t>Required:
• Spring Boot Testing: https://www.baeldung.com/spring-boot-testing
• Testing Spring Boot Applications: https://docs.spring.io/spring-boot/reference/testing/spring-boot-applications.html
• JUnit 5: https://www.baeldung.com/junit-5
• Integration Testing: https://www.baeldung.com/integration-testing-in-spring</t>
  </si>
  <si>
    <t>&lt;Class Meeting&gt;</t>
  </si>
  <si>
    <t>&lt;Assignment, Lab&gt;</t>
  </si>
  <si>
    <t>&lt;Quiz, assignment review
Assignment guides&gt;</t>
  </si>
  <si>
    <t>Test/Quiz</t>
  </si>
  <si>
    <t>&lt;Daily quiz&gt;</t>
  </si>
  <si>
    <t>Required:
• Spring Boot Testing: https://www.baeldung.com/spring-boot-testing
• Testing Spring Boot Applications: https://docs.spring.io/spring-boot/reference/testing/spring-boot-applications.html
• JUnit 5: https://www.baeldung.com/junit-5</t>
  </si>
  <si>
    <t>Exam</t>
  </si>
  <si>
    <t>&lt;Pre-Test, Final Topic Test&gt;</t>
  </si>
  <si>
    <t>Training Materials &amp; Environments</t>
  </si>
  <si>
    <t>Day 29</t>
  </si>
  <si>
    <t>Text book</t>
  </si>
  <si>
    <t>&lt;n/a&gt;</t>
  </si>
  <si>
    <t>Documentation, Logging, Monitoring &amp; Docker
+ OpenAPI / Swagger
+ Structured Logging
+ Actuator &amp; Metrics
+ Docker
+ docker-compose</t>
  </si>
  <si>
    <t>Required:
• OpenAPI / SpringDoc: http://springdoc.org/
• Structured Logging: https://www.baeldung.com/spring-boot-structured-logging
• Actuator: https://www.baeldung.com/spring-boot-actuators
• Testcontainers: https://testcontainers.com/guides/testing-spring-boot-rest-api-using-testcontainers/
• Testcontainers for Spring Boot: https://docs.spring.io/spring-boot/reference/testing/testcontainers.html</t>
  </si>
  <si>
    <t>References</t>
  </si>
  <si>
    <t>Day 30</t>
  </si>
  <si>
    <t>- Lab 10: Production Readiness
  - Unit test + Integration test (Testcontainers) for all service
  - JaCoCo coverage report ≥ 75%
  - OpenAPI doc for all endpoint
  - JSON structured logging + traceId propagation
  - Actuator + Prometheus metrics + custom HealthIndicator
  - Dockerfile + docker-compose.yml (app + DB + Redis)
  - GitHub Actions CI: build → test → docker build</t>
  </si>
  <si>
    <t>Required:
• Spring Boot Testing: https://www.baeldung.com/spring-boot-testing
• Testcontainers: https://testcontainers.com/guides/testing-spring-boot-rest-api-using-testcontainers/
• OpenAPI / SpringDoc: http://springdoc.org/
• Docker with Spring Boot: https://www.baeldung.com/spring-boot-docker-images
• Docker Compose: https://www.baeldung.com/docker-compose-support-spring-boot</t>
  </si>
  <si>
    <t>Unit 11</t>
  </si>
  <si>
    <t>Project Planning &amp; Implementation</t>
  </si>
  <si>
    <t>Day 31</t>
  </si>
  <si>
    <t>System Design &amp; Project Kickoff
+ Architecture overview
+ API design</t>
  </si>
  <si>
    <t>Required:
• Spring Boot Reference: https://docs.spring.io/spring-boot/index.html
• Structuring Your Code: https://docs.spring.io/spring-boot/reference/using/structuring-your-code.html
• Spring MVC: https://docs.spring.io/spring-framework/reference/web/webmvc.html
• Building REST API: https://www.baeldung.com/building-a-restful-web-service-with-spring</t>
  </si>
  <si>
    <t>Day 32</t>
  </si>
  <si>
    <t>System Design &amp; Project Kickoff
+ Database design
+ Error handling strategy
+ Development workflow</t>
  </si>
  <si>
    <t>Required:
• Spring Data Repositories: https://docs.spring.io/spring-data/jpa/reference/repositories.html
• JPA Entity: https://docs.spring.io/spring-data/jpa/reference/jpa/entity-persistence.html
• Exception Handling: https://www.baeldung.com/exception-handling-for-rest-with-spring
• ProblemDetail: https://www.baeldung.com/spring-problem-detail</t>
  </si>
  <si>
    <t>Day 33</t>
  </si>
  <si>
    <t>Development Sprint 1
- Implement core entities + repositories + migrations
- Auth module (register, login, JWT)
- User profile API
- Category CRUD
- Daily standup + progress review</t>
  </si>
  <si>
    <t>LO6, LO7, LO8, LO11</t>
  </si>
  <si>
    <t>Required:
• JPA Entity: https://docs.spring.io/spring-data/jpa/reference/jpa/entity-persistence.html
• JPA Cascade Types: https://www.baeldung.com/jpa-cascade-types
• JWT with Spring Security: https://docs.spring.io/spring-security/reference/servlet/oauth2/resource-server/jwt.html
• Spring Data Repositories: https://docs.spring.io/spring-data/jpa/reference/repositories.html
• Pagination &amp; Sort: https://www.baeldung.com/spring-data-jpa-sort</t>
  </si>
  <si>
    <t>Unit 12</t>
  </si>
  <si>
    <t>Implementation Sprint &amp; Final Defense</t>
  </si>
  <si>
    <t>Day 34</t>
  </si>
  <si>
    <t>Development Sprint 2
- Product CRUD + search + filter + pagination
- Product image upload
- Cart management
- Caching setup (categories, products)</t>
  </si>
  <si>
    <t>LO6, LO7, LO9, LO12</t>
  </si>
  <si>
    <t>Required:
• Spring Data Repositories: https://docs.spring.io/spring-data/jpa/reference/repositories.html
• Pagination &amp; Sort: https://www.baeldung.com/spring-data-jpa-sort
• File Upload: https://www.baeldung.com/spring-file-upload
• Spring Cache: https://www.baeldung.com/spring-cache-tutorial</t>
  </si>
  <si>
    <t>Day 35</t>
  </si>
  <si>
    <t>Development Sprint 3
- Order checkout flow
- Order management (user + admin)
- @Async email notification
- Export CSV (admin)
- Docker + docker-compose finalize
- CI pipeline verify</t>
  </si>
  <si>
    <t>LO8, LO9, LO10, LO12</t>
  </si>
  <si>
    <t>Required:
• @Transactional: https://www.baeldung.com/spring-transactional-propagation-isolation
• @Async: https://www.baeldung.com/spring-async
• Docker with Spring Boot: https://www.baeldung.com/spring-boot-docker-images
• Docker Compose: https://www.baeldung.com/docker-compose-support-spring-boot
• Java CSV: https://www.baeldung.com/java-csv</t>
  </si>
  <si>
    <t>Day 36</t>
  </si>
  <si>
    <t>Final Defense</t>
  </si>
  <si>
    <t>LO10, LO11, LO12</t>
  </si>
  <si>
    <t>Required:
• Spring Boot Testing: https://www.baeldung.com/spring-boot-testing
• Testcontainers: https://docs.spring.io/spring-boot/reference/testing/testcontainers.html
• Docker with Spring Boot: https://www.baeldung.com/spring-boot-docker-images
• OpenAPI / SpringDoc: http://springdoc.org/</t>
  </si>
  <si>
    <t>Technical requirements</t>
  </si>
  <si>
    <t>Unit 13</t>
  </si>
  <si>
    <t>Final test</t>
  </si>
  <si>
    <t>Day 37</t>
  </si>
  <si>
    <t>Final theory</t>
  </si>
  <si>
    <t>LO1, LO2, LO3, LO4, LO5, LO6, LO7, LO8, LO9, LO10</t>
  </si>
  <si>
    <t>Offline</t>
  </si>
  <si>
    <t>Required:
• Java Language Specification (JLS): https://docs.oracle.com/javase/specs/jls/se17/html/index.html
• Spring Boot Reference: https://docs.spring.io/spring-boot/index.html
• Spring Framework Reference: https://docs.spring.io/spring-framework/reference/index.html
• Baeldung Java Tutorials: https://www.baeldung.com/java-tutorial
• Baeldung Spring Tutorials: https://www.baeldung.com/spring-tutorial</t>
  </si>
  <si>
    <t>Assessment Scheme</t>
  </si>
  <si>
    <t>Day 38</t>
  </si>
  <si>
    <t>Final practice</t>
  </si>
  <si>
    <t>Assignments</t>
  </si>
  <si>
    <t>LO5, LO6, LO7, LO8, LO9, LO10, LO11, LO12</t>
  </si>
  <si>
    <t>100% completed all assigned assignments of the course</t>
  </si>
  <si>
    <t>Unit 14</t>
  </si>
  <si>
    <t>OJT Phase</t>
  </si>
  <si>
    <t>Final Test - Theory</t>
  </si>
  <si>
    <t>Pass final theory test (rate &gt; 80%)</t>
  </si>
  <si>
    <t>Day 39- Day 64</t>
  </si>
  <si>
    <t>Learners work with project tasks in FSU Project</t>
  </si>
  <si>
    <t>LO6, LO7, LO8, LO9, LO10, LO11, LO12</t>
  </si>
  <si>
    <t>Final Test - Practice</t>
  </si>
  <si>
    <t>Pass practice test (rate &gt; 80%)</t>
  </si>
  <si>
    <t>Mentor support during OJT Phase</t>
  </si>
  <si>
    <t>Passing criteria</t>
  </si>
  <si>
    <t>Total topic GPA &gt;= 8/10
Attendant &gt;=80% of training time</t>
  </si>
  <si>
    <t>Unit 15</t>
  </si>
  <si>
    <t>Evaluation Phase</t>
  </si>
  <si>
    <t>Training Delivery Principles</t>
  </si>
  <si>
    <t>Day 65 - Day 66</t>
  </si>
  <si>
    <t>Evaluate learners after training and OJT phase</t>
  </si>
  <si>
    <t>Trainees</t>
  </si>
  <si>
    <t>- DEV2 Software Engineer with at least 2 years of development experience, including at least 1 year of hands-on Java backend experience.
- Can implement basic Java applications using OOP, collections, exception handling and unit tests.
- Has basic knowledge of relational databases, REST APIs, Git and backend workflows.</t>
  </si>
  <si>
    <t>- Trainer and mentor has a good knowledge of the Java, Spring Framework, AWS or other cloud SDK platform that has been evaluated by GST</t>
  </si>
  <si>
    <t>Training</t>
  </si>
  <si>
    <t>Mentor supports Q&amp;A, exercise review and technical guidance.
- Learners submit assignments with source code and test evidence for review.
- Module checks are used to verify progress.
- Final assessment includes theory, practical implementation and solution defense.
- OJT tasks require defined acceptance criteria, evidence and mentor sign-off.</t>
  </si>
  <si>
    <t>Re-Test</t>
  </si>
  <si>
    <t>Only allow each trainee to retake the test up to 1 times; Re-exam the same structure as the Final Test</t>
  </si>
  <si>
    <t>Marking</t>
  </si>
  <si>
    <t>- Trainer marks the Final Exam Practice
- If the trainees have to retake test, the score will be calculated:
+ The score &gt;=8, the score will be 8
+ The scroe &lt;8, the score will be that score</t>
  </si>
  <si>
    <t>Total Time</t>
  </si>
  <si>
    <t>Current–Future Balance</t>
  </si>
  <si>
    <t>Waiver Criteria</t>
  </si>
  <si>
    <t>Trainees pass the quick test
Trainer Audit: rank B</t>
  </si>
  <si>
    <t>Others</t>
  </si>
  <si>
    <t>Trainers can allow trainee to complete homework and submit the next day</t>
  </si>
  <si>
    <t>AAAAAH/rVCM=</t>
  </si>
  <si>
    <t>AAAAAH/rVCQ=</t>
  </si>
  <si>
    <t>AAAAAH/rVCU=</t>
  </si>
  <si>
    <t>Guidelines and Explanation</t>
  </si>
  <si>
    <t xml:space="preserve">1. Level of Skills </t>
  </si>
  <si>
    <t>Level</t>
  </si>
  <si>
    <t>Description</t>
  </si>
  <si>
    <t>Level of Skills in QMS</t>
  </si>
  <si>
    <t>No experience</t>
  </si>
  <si>
    <t>The individual with no experience or no understanding to perform the task</t>
  </si>
  <si>
    <t>1: Fundamental Awareness</t>
  </si>
  <si>
    <t>Basic</t>
  </si>
  <si>
    <t>The individual demonstrates minimal or no understanding of the competency. Frequent errors or mistakes are made when attempting tasks related to this competency. Significant guidance and supervision are required to perform tasks. Performance consistently falls short of expected standards.</t>
  </si>
  <si>
    <t>2: Limited Experience</t>
  </si>
  <si>
    <t>Intermediate</t>
  </si>
  <si>
    <t>The individual possesses basic knowledge and understanding of the competency. Performance is inconsistent, with occasional errors or mistakes. Requires moderate supervision and guidance to perform tasks. Competency is not yet fully developed.</t>
  </si>
  <si>
    <t>3: Intermediate</t>
  </si>
  <si>
    <t>Advanced</t>
  </si>
  <si>
    <t>The individual demonstrates a solid understanding of the competency. Performance is generally accurate, with occasional minor errors. Can perform tasks independently with minimal supervision. Meets the expected standards for competency in this area.</t>
  </si>
  <si>
    <t>4: Advanced</t>
  </si>
  <si>
    <t>Expert</t>
  </si>
  <si>
    <t>The individual is a subject matter expert in this competency. Exceptional accuracy and efficiency in performing tasks. Demonstrates a deep understanding and can apply knowledge creatively. Able to innovate, solve complex problems, and teach others.</t>
  </si>
  <si>
    <t>5: Expert</t>
  </si>
  <si>
    <t>2. Skill Priority</t>
  </si>
  <si>
    <t xml:space="preserve">1 primary skill </t>
  </si>
  <si>
    <t>The main skill that the course is designed to develop. This skill reflects the core learning objective and the most important outcome learners are expected to achieve after completing the course</t>
  </si>
  <si>
    <t>No more than 4 secondary skills</t>
  </si>
  <si>
    <t>Supporting skills that are related to and help reinforce the primary skill. These skills provide additional value to the course but are not the main focus</t>
  </si>
  <si>
    <t>3. Current–Future Balance</t>
  </si>
  <si>
    <t>Stage</t>
  </si>
  <si>
    <t>Definition</t>
  </si>
  <si>
    <t>70% Current Needs</t>
  </si>
  <si>
    <t>Focuses on the essential skills, tools, and tasks that learners need to perform their current job effectively and meet required standards</t>
  </si>
  <si>
    <t>30% Future Needs</t>
  </si>
  <si>
    <t>Focuses on preparing learners for the next job level or future skill requirements</t>
  </si>
  <si>
    <t>4. Bloom's Taxonomy</t>
  </si>
  <si>
    <t>Descriptions</t>
  </si>
  <si>
    <t xml:space="preserve">Verbs (examples)
Learning objective ~ Bloom Level = "Verb" + "Content" </t>
  </si>
  <si>
    <t>Example Learning Objective</t>
  </si>
  <si>
    <t>B1-Remember</t>
  </si>
  <si>
    <t>The ability to Remember previously learned information. Very limited use for Technology company employees; mainly for awareness (Aware) such as policies, standards, or basic terminology.</t>
  </si>
  <si>
    <t>Nhóm lại, Trình bày, Ghi nhớ, Miêu tả, Kể ra, Sắp đặt, Tìm kiếm, Sắp xếp, Nhận biết, Nhớ lại, Gọi tên, Liệt kê, Sao chép lại, Trích dẫn, Nhắc lại</t>
  </si>
  <si>
    <t>Group, Present, Recall, Describe, List, Arrange, Search, Sort, Identify, Retrieve, Name, Enumerate, Copy, Cite, Repeat</t>
  </si>
  <si>
    <t>List the 4 OOP pillars (encapsulation, inheritance, polymorphism, abstraction) and define each term.</t>
  </si>
  <si>
    <t>B2-Understand</t>
  </si>
  <si>
    <t>The ability to Explain or Interpret the meaning of information. Low-frequency use, mainly for standard and policy-related topics to ensure alignment (Aligned) to theoretical intent, without requiring independent execution.</t>
  </si>
  <si>
    <t>Tương phản, Liên kết, Diễn giải cụ thể, Phản biện, So sánh, Trình bày cách hiểu, Ước tính, Phân loại, Lấy ví dụ, Giải thích, Phân biệt, Diễn tả, Chỉ ra, Tìm khác biệt, Kể lại, Nhận định, Miêu tả</t>
  </si>
  <si>
    <t>Contrast, Link, Explain in detail, Debate, Compare, Interpret, Estimate, Categorize, Give examples, Clarify, Differentiate, Describe, Point out, Distinguish, Recount, Recognize</t>
  </si>
  <si>
    <t>Explain the difference between an interface and an abstract class in Java, and illustrate with a short code snippet.</t>
  </si>
  <si>
    <t>B3-Apply</t>
  </si>
  <si>
    <t>The ability to Use learned knowledge to Perform a task in each situation. Mandatory or high-frequency use for all job description. This is the minimum level where learning becomes executable (Executable) in daily work.</t>
  </si>
  <si>
    <t>Áp dụng, Chứng minh, Làm ra, Tính toán, Thay đổi, Chuẩn bị, Hoàn thành, Dự đoán, Giải quyết, Sử dụng, Khám phá, Sửa đổi, Vận hành, Minh họa, Thực hiện</t>
  </si>
  <si>
    <t>Apply, Demonstrate, Produce, Calculate, Modify, Prepare, Complete, Predict, Solve, Use, Explore, Edit, Operate, Illustrate, Execute</t>
  </si>
  <si>
    <t>Implement/Apply encapsulation by creating a BankAccount class with private fields, public getters/setters (with validation), and use it in a small main() program.</t>
  </si>
  <si>
    <t>B4-Analyze</t>
  </si>
  <si>
    <t>The ability to Break information into parts and examine relationships between them. Medium-to-high frequency use for mid-to-senior roles. At this level, work becomes manageable (Manageable) with less supervision and better handling of exceptions.</t>
  </si>
  <si>
    <t>Thẩm định, Tìm lỗi, Giải thích, Phân loại, Sắp xếp, Phân chia, So sánh, Tính toán, Suy luận, Đối chiếu, Phân biệt, Kiểm tra, Tìm khác biệt, Kết nối, Lựa chọn, Phê bình, Phân tích cấu trúc, Đặt câu hỏi</t>
  </si>
  <si>
    <t>Evaluate, Identify errors, Explain, Categorize, Organize, Divide, Compare, Compute, Deduce, Cross-check, Differentiate, Inspect, Find differences, Connect, Select, Critique, Analyze structure, Pose questions</t>
  </si>
  <si>
    <t>Given a small Java project, analyze the class relationships (inheritance vs composition), and identify violations of encapsulation or misuse of inheritance.</t>
  </si>
  <si>
    <t>B5-Evaluate</t>
  </si>
  <si>
    <t>The ability to Make Judgments based on defined criteria or standards. Medium-frequency, selective use for senior roles who make decisions and take accountability (Accountable) for outcomes.</t>
  </si>
  <si>
    <t>Gợi ý, Thẩm định, Đưa ra lựa chọn, Kiểm tra, Tranh luận, Hỗ trợ, Phê bình, So sánh, Chứng minh, Quyết định, Kết luận, Tổng kết, Xếp loại, Thuyết phục, Bảo vệ, Phân biệt, Đặt ưu tiên, Giải thích, Dự đoán, Sửa lỗi</t>
  </si>
  <si>
    <t>Suggest, Assess, Choose, Test, Debate, Support, Critique, Compare, Prove, Decide, Conclude, Summarize, Rank, Persuade, Defend, Distinguish, Prioritize, Justify, Forecast, Correct</t>
  </si>
  <si>
    <t>Critique two alternative designs for a Payment module (inheritance-based vs strategy pattern with interfaces) and justify which is more maintainable based on SOLID criteria.</t>
  </si>
  <si>
    <t>B6-Create</t>
  </si>
  <si>
    <t>The ability to combine elements to Produce a new or original outcome. Low-frequency, selective use for roles with broader impact, and recognized when results are reusable (Reusable) across teams or projects.</t>
  </si>
  <si>
    <t>Kết hợp, Tập hợp, Chuẩn bị, Tái sắp xếp, Tạo ra, Viết lại, Xây dựng, Sáng tạo, Giải thích, Thiết kế, Tạo thành công thức, Thay thế, Quản lý, Tích hợp, Khái quát, Phát minh, Cấu trúc hóa, Sửa đổi, Lập kế hoạch</t>
  </si>
  <si>
    <t>Combine, Assemble, Prepare, Reorganize, Generate, Rewrite, Build, Invent, Explain, Design, Formulate, Replace, Manage, Integrate, Summarize, Innovate, Structure, Revise, Plan</t>
  </si>
  <si>
    <t>Design and develop a mini “Library Management” system applying OOP (classes, interfaces, polymorphism), including at least one design pattern (e.g., Strategy for fine calculation), and produce runnable code + short design notes (UML optional).</t>
  </si>
  <si>
    <t>5. Delivery Type (G collum in &lt;Topic Name&gt;_Schedule)</t>
  </si>
  <si>
    <t xml:space="preserve">English version </t>
  </si>
  <si>
    <t>Vietnamese version</t>
  </si>
  <si>
    <t>Trainers deliver lessons: Present theory on a specific topic, often using slides, demonstrations (demo), short exercises, or group activities during teaching.</t>
  </si>
  <si>
    <t>Giảng viên thực hiện hoạt động giảng dạy: Trình bày lý thuyết của một chủ để chuyên môn, thường sử dụng bài thuyết trình (slides), bài thử nghiệm (demo), bài tập ngắn hoặc bào tập nhóm trong quá trình giảng dạy.</t>
  </si>
  <si>
    <t>Learners practice on their own, complete assignments or lab exercises to reinforce or apply the knowledge learned.</t>
  </si>
  <si>
    <t>Học viên tự thực hành, làm bài tập/bài Labs nhằm củng cố/vận dụng kiến thức đã học.</t>
  </si>
  <si>
    <t>Guides/ Review</t>
  </si>
  <si>
    <t>Trainers check work results and observe how learners perform tasks; give feedback, scores, and comments based on set criteria; guide improvements for individuals/team</t>
  </si>
  <si>
    <t>Người hướng dẫn xem xét kết quả bài làm và quá trình thực hiện của học viên; đưa nhận xét, chấm/đánh giá theo tiêu chí và hướng dẫn cải thiện theo cá nhân hoặc theo nhóm đối với các bài tập/bài kiểm tra được giao.</t>
  </si>
  <si>
    <t>Test /Quiz</t>
  </si>
  <si>
    <t>Short tests or quizzes for each lesson/topic to assess learners’ understanding; may be done during the learning process or after finishing a module.</t>
  </si>
  <si>
    <t>Hoạt động kiểm tra ngắn theo bài/chuyên đề nhằm đánh giá mức độ nắm kiến thức theo từng phần nội dung, có thể thực hiện theo thời lượng học hoặc sau khi hoàn thành một module</t>
  </si>
  <si>
    <t>Final exam for each course, to evaluate the contents
learned, including previous assignments and tests.</t>
  </si>
  <si>
    <t>Bài thi cuối khóa/cuối kỳ để đánh giá tổng hợp mức độ đạt mục tiêu học tập của khóa học/module; có thể bao gồm lý thuyết và thực hành, dựa trên các nội dung đã học.</t>
  </si>
  <si>
    <t>Workshop/Seminar</t>
  </si>
  <si>
    <t>Discussion or sharing sessions: Focus on discussion, case-based practice, answering questions, and clarifying professional content between trainers/guest speakers and learners.</t>
  </si>
  <si>
    <t>Buổi trao đổi/chia sẻ chuyên đề: tập trung thảo luận, thực hành theo tình huống, giải đáp thắc mắc và làm rõ nội dung chuyên môn giữa giảng viên/khách mời và học viên.</t>
  </si>
  <si>
    <t>Class sessions to explain course rules, assignments, and learners’ responsibilities.</t>
  </si>
  <si>
    <t>Buổi sinh hoạt lớp: giữa quản lý lớp/giảng viên chủ nhiệm và học viên nhằm kiểm tra tiến độ học tập, nhắc nhở quy định, trao đổi vấn đề học vụ và thông báo các cập nhật liên quan đến lớp/khóa học</t>
  </si>
  <si>
    <t xml:space="preserve">Self-learning </t>
  </si>
  <si>
    <t>Learners study materials independently (e.g., e-learning courses, documents, videos) without direct trainer facilitation</t>
  </si>
  <si>
    <t>Học viên tự học thông qua các tài liệu (ví dụ: khóa học e-learning, tài liệu, video) mà không có sự hướng dẫn trực tiếp từ giảng viên</t>
  </si>
  <si>
    <t>Sightseeing and other outdoor activities</t>
  </si>
  <si>
    <t>Extracurricular activities are often used in the Corporate Culture module</t>
  </si>
  <si>
    <t>Hoạt động ngoại khóa: tham quan/hoạt động ngoài trời phục vụ mục tiêu trải nghiệm (thường dùng trong học phần Văn hóa doanh nghiệp hoặc gắn kết đội nhóm).</t>
  </si>
  <si>
    <t>6. Training Format</t>
  </si>
  <si>
    <t>Training format</t>
  </si>
  <si>
    <t xml:space="preserve">Online </t>
  </si>
  <si>
    <t>Learners attend in-person training sessions at a physical location with direct interaction with trainers and peers</t>
  </si>
  <si>
    <t>Học viên tham gia đào tạo trực tiếp tại địa điểm cụ thể, có sự tương tác trực tiếp với giảng viên và các học viên khác</t>
  </si>
  <si>
    <t>Vitual</t>
  </si>
  <si>
    <t>Learners participate in live online training sessions via virtual platforms, with real-time interaction with trainers and peers</t>
  </si>
  <si>
    <t>Học viên tham gia các buổi đào tạo trực tuyến trực tiếp thông qua nền tảng online, có tương tác thời gian thực với giảng viên và các học viên khác</t>
  </si>
  <si>
    <t>Hybrid</t>
  </si>
  <si>
    <t>Learners participate in a combination of virtual (live online) and offline (in-person) training, combining real-time online interaction with face-to-face sessions</t>
  </si>
  <si>
    <t>Học viên tham gia kết hợp giữa đào tạo trực tuyến trực tiếp (virtual) và đào tạo trực tiếp tại lớp (offline)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</si>
</sst>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800]dddd\,\ mmmm\ dd\,\ yyyy"/>
    <numFmt numFmtId="165" formatCode="[$-409]d\-mmm\-yyyy"/>
  </numFmts>
  <fonts count="29">
    <font>
      <sz val="10.0"/>
      <color theme="1"/>
      <name val="Calibri"/>
      <scheme val="minor"/>
    </font>
    <font>
      <b/>
      <sz val="14.0"/>
      <color theme="1"/>
      <name val="Arial"/>
    </font>
    <font>
      <sz val="10.0"/>
      <color theme="1"/>
      <name val="Arial"/>
    </font>
    <font/>
    <font>
      <sz val="11.0"/>
      <color theme="1"/>
      <name val="Calibri"/>
    </font>
    <font>
      <i/>
      <sz val="10.0"/>
      <color theme="1"/>
      <name val="Arial"/>
    </font>
    <font>
      <sz val="10.0"/>
      <color theme="1"/>
      <name val="Tahoma"/>
    </font>
    <font>
      <b/>
      <sz val="10.0"/>
      <color theme="1"/>
      <name val="Arial"/>
    </font>
    <font>
      <b/>
      <sz val="12.0"/>
      <color theme="1"/>
      <name val="Tahoma"/>
    </font>
    <font>
      <sz val="10.0"/>
      <color rgb="FF000000"/>
      <name val="Arial"/>
    </font>
    <font>
      <b/>
      <i/>
      <sz val="14.0"/>
      <color rgb="FF800000"/>
      <name val="Arial"/>
    </font>
    <font>
      <sz val="11.0"/>
      <color theme="1"/>
      <name val="Arial"/>
    </font>
    <font>
      <i/>
      <sz val="14.0"/>
      <color rgb="FF800000"/>
      <name val="Arial"/>
    </font>
    <font>
      <b/>
      <sz val="10.0"/>
      <color rgb="FF000000"/>
      <name val="Arial"/>
    </font>
    <font>
      <b/>
      <sz val="20.0"/>
      <color rgb="FF800000"/>
      <name val="Arial"/>
    </font>
    <font>
      <i/>
      <sz val="10.0"/>
      <color rgb="FF000000"/>
      <name val="Arial"/>
    </font>
    <font>
      <b/>
      <sz val="10.0"/>
      <color rgb="FF800000"/>
      <name val="Arial"/>
    </font>
    <font>
      <u/>
      <sz val="10.0"/>
      <color theme="10"/>
      <name val="Arial"/>
    </font>
    <font>
      <b/>
      <i/>
      <sz val="10.0"/>
      <color rgb="FF000000"/>
      <name val="Arial"/>
    </font>
    <font>
      <sz val="10.0"/>
      <color rgb="FF000000"/>
      <name val="Aria"/>
    </font>
    <font>
      <sz val="10.0"/>
      <color theme="1"/>
      <name val="Times New Roman"/>
    </font>
    <font>
      <sz val="10.0"/>
      <color theme="1"/>
      <name val="Aria"/>
    </font>
    <font>
      <sz val="11.0"/>
      <color rgb="FF242424"/>
      <name val="Aptos Narrow"/>
    </font>
    <font>
      <b/>
      <i/>
      <sz val="10.0"/>
      <color theme="1"/>
      <name val="Arial"/>
    </font>
    <font>
      <color theme="1"/>
      <name val="Calibri"/>
      <scheme val="minor"/>
    </font>
    <font>
      <b/>
      <sz val="20.0"/>
      <color theme="1"/>
      <name val="Arial"/>
    </font>
    <font>
      <b/>
      <sz val="12.0"/>
      <color theme="1"/>
      <name val="Arial"/>
    </font>
    <font>
      <sz val="12.0"/>
      <color rgb="FF001D35"/>
      <name val="Arial"/>
    </font>
    <font>
      <sz val="15.0"/>
      <color rgb="FF001D35"/>
      <name val="Arial"/>
    </font>
  </fonts>
  <fills count="8">
    <fill>
      <patternFill patternType="none"/>
    </fill>
    <fill>
      <patternFill patternType="lightGray"/>
    </fill>
    <fill>
      <patternFill patternType="solid">
        <fgColor rgb="FFCCFFCC"/>
        <bgColor rgb="FFCCFFCC"/>
      </patternFill>
    </fill>
    <fill>
      <patternFill patternType="solid">
        <fgColor rgb="FFFFFFFF"/>
        <bgColor rgb="FFFFFFFF"/>
      </patternFill>
    </fill>
    <fill>
      <patternFill patternType="solid">
        <fgColor theme="0"/>
        <bgColor theme="0"/>
      </patternFill>
    </fill>
    <fill>
      <patternFill patternType="solid">
        <fgColor rgb="FFFFC000"/>
        <bgColor rgb="FFFFC000"/>
      </patternFill>
    </fill>
    <fill>
      <patternFill patternType="solid">
        <fgColor rgb="FFC0C0C0"/>
        <bgColor rgb="FFC0C0C0"/>
      </patternFill>
    </fill>
    <fill>
      <patternFill patternType="solid">
        <fgColor rgb="FF00B050"/>
        <bgColor rgb="FF00B050"/>
      </patternFill>
    </fill>
  </fills>
  <borders count="97">
    <border/>
    <border>
      <left/>
      <top/>
      <bottom/>
    </border>
    <border>
      <top/>
      <bottom/>
    </border>
    <border>
      <right/>
      <top/>
      <bottom/>
    </border>
    <border>
      <left style="thin">
        <color rgb="FF000000"/>
      </left>
      <right/>
      <top style="thin">
        <color rgb="FF000000"/>
      </top>
      <bottom/>
    </border>
    <border>
      <left/>
      <right/>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hair">
        <color rgb="FF000000"/>
      </right>
      <top style="thin">
        <color rgb="FF000000"/>
      </top>
      <bottom/>
    </border>
    <border>
      <left style="hair">
        <color rgb="FF000000"/>
      </left>
      <right/>
      <top style="thin">
        <color rgb="FF000000"/>
      </top>
      <bottom/>
    </border>
    <border>
      <left style="thin">
        <color rgb="FF000000"/>
      </left>
      <top style="thin">
        <color rgb="FF000000"/>
      </top>
      <bottom style="thin">
        <color rgb="FF000000"/>
      </bottom>
    </border>
    <border>
      <left style="dotted">
        <color rgb="FF000000"/>
      </left>
      <top style="thin">
        <color rgb="FF000000"/>
      </top>
      <bottom style="dotted">
        <color rgb="FF000000"/>
      </bottom>
    </border>
    <border>
      <top style="thin">
        <color rgb="FF000000"/>
      </top>
      <bottom style="thin">
        <color rgb="FF000000"/>
      </bottom>
    </border>
    <border>
      <top style="thin">
        <color rgb="FF000000"/>
      </top>
      <bottom style="dotted">
        <color rgb="FF000000"/>
      </bottom>
    </border>
    <border>
      <right style="dotted">
        <color rgb="FF000000"/>
      </right>
      <top style="thin">
        <color rgb="FF000000"/>
      </top>
      <bottom style="dotted">
        <color rgb="FF000000"/>
      </bottom>
    </border>
    <border>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thin">
        <color rgb="FF000000"/>
      </left>
      <right style="thin">
        <color rgb="FF000000"/>
      </right>
      <top style="thin">
        <color rgb="FF000000"/>
      </top>
      <bottom style="thin">
        <color rgb="FF000000"/>
      </bottom>
    </border>
    <border>
      <left/>
      <top style="dotted">
        <color rgb="FF000000"/>
      </top>
      <bottom style="dotted">
        <color rgb="FF000000"/>
      </bottom>
    </border>
    <border>
      <top style="dotted">
        <color rgb="FF000000"/>
      </top>
      <bottom style="dotted">
        <color rgb="FF000000"/>
      </bottom>
    </border>
    <border>
      <left style="thin">
        <color rgb="FF000000"/>
      </left>
      <right style="thin">
        <color rgb="FF000000"/>
      </right>
      <top style="thin">
        <color rgb="FF000000"/>
      </top>
      <bottom/>
    </border>
    <border>
      <right style="dotted">
        <color rgb="FF000000"/>
      </right>
      <top style="dotted">
        <color rgb="FF000000"/>
      </top>
      <bottom style="dotted">
        <color rgb="FF000000"/>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top/>
      <bottom/>
    </border>
    <border>
      <right style="thin">
        <color rgb="FF000000"/>
      </right>
      <top/>
      <bottom/>
    </border>
    <border>
      <left style="dotted">
        <color rgb="FF000000"/>
      </left>
      <top style="dotted">
        <color rgb="FF000000"/>
      </top>
      <bottom style="dotted">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hair">
        <color rgb="FF000000"/>
      </right>
      <top style="dotted">
        <color rgb="FF000000"/>
      </top>
    </border>
    <border>
      <left style="hair">
        <color rgb="FF000000"/>
      </left>
      <right/>
      <top style="dotted">
        <color rgb="FF000000"/>
      </top>
    </border>
    <border>
      <left style="hair">
        <color rgb="FF000000"/>
      </left>
      <right style="hair">
        <color rgb="FF000000"/>
      </right>
      <top style="hair">
        <color rgb="FF000000"/>
      </top>
      <bottom style="hair">
        <color rgb="FF000000"/>
      </bottom>
    </border>
    <border>
      <left style="thin">
        <color rgb="FF000000"/>
      </left>
      <right style="hair">
        <color rgb="FF000000"/>
      </right>
    </border>
    <border>
      <left style="hair">
        <color rgb="FF000000"/>
      </left>
      <right/>
    </border>
    <border>
      <left style="hair">
        <color rgb="FF000000"/>
      </left>
      <right/>
      <top style="dotted">
        <color rgb="FF000000"/>
      </top>
      <bottom/>
    </border>
    <border>
      <left/>
      <top/>
      <bottom style="thin">
        <color rgb="FF000000"/>
      </bottom>
    </border>
    <border>
      <top/>
      <bottom style="thin">
        <color rgb="FF000000"/>
      </bottom>
    </border>
    <border>
      <right style="thin">
        <color rgb="FF000000"/>
      </right>
      <top/>
      <bottom style="thin">
        <color rgb="FF000000"/>
      </bottom>
    </border>
    <border>
      <left style="thin">
        <color rgb="FF000000"/>
      </left>
      <top/>
      <bottom style="thin">
        <color rgb="FF000000"/>
      </bottom>
    </border>
    <border>
      <left/>
      <top style="thin">
        <color rgb="FF000000"/>
      </top>
      <bottom style="thin">
        <color rgb="FF000000"/>
      </bottom>
    </border>
    <border>
      <left style="hair">
        <color rgb="FF000000"/>
      </left>
      <right/>
      <top style="hair">
        <color rgb="FF000000"/>
      </top>
      <bottom style="hair">
        <color rgb="FF000000"/>
      </bottom>
    </border>
    <border>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border>
    <border>
      <left style="hair">
        <color rgb="FF000000"/>
      </left>
      <right style="thin">
        <color rgb="FF000000"/>
      </right>
      <top style="hair">
        <color rgb="FF000000"/>
      </top>
      <bottom style="hair">
        <color rgb="FF000000"/>
      </bottom>
    </border>
    <border>
      <left style="hair">
        <color rgb="FF000000"/>
      </left>
      <right style="hair">
        <color rgb="FF000000"/>
      </right>
      <top/>
      <bottom style="hair">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hair">
        <color rgb="FF000000"/>
      </left>
      <right/>
      <top/>
      <bottom/>
    </border>
    <border>
      <left style="hair">
        <color rgb="FF000000"/>
      </left>
      <right style="hair">
        <color rgb="FF000000"/>
      </right>
      <top style="hair">
        <color rgb="FF000000"/>
      </top>
      <bottom/>
    </border>
    <border>
      <left style="dotted">
        <color rgb="FF000000"/>
      </left>
      <right style="thin">
        <color rgb="FF000000"/>
      </right>
      <top style="dotted">
        <color rgb="FF000000"/>
      </top>
      <bottom/>
    </border>
    <border>
      <left style="hair">
        <color rgb="FF000000"/>
      </left>
      <right/>
      <top style="hair">
        <color rgb="FF000000"/>
      </top>
      <bottom/>
    </border>
    <border>
      <left style="hair">
        <color rgb="FF000000"/>
      </left>
      <right style="thin">
        <color rgb="FF000000"/>
      </right>
      <top style="hair">
        <color rgb="FF000000"/>
      </top>
      <bottom/>
    </border>
    <border>
      <left style="thin">
        <color rgb="FF000000"/>
      </left>
      <right style="hair">
        <color rgb="FF000000"/>
      </right>
      <bottom style="hair">
        <color rgb="FF000000"/>
      </bottom>
    </border>
    <border>
      <left style="hair">
        <color rgb="FF000000"/>
      </left>
      <right/>
      <bottom style="hair">
        <color rgb="FF000000"/>
      </bottom>
    </border>
    <border>
      <left style="thin">
        <color rgb="FF000000"/>
      </left>
      <right style="hair">
        <color rgb="FF000000"/>
      </right>
      <top style="hair">
        <color rgb="FF000000"/>
      </top>
    </border>
    <border>
      <left style="hair">
        <color rgb="FF000000"/>
      </left>
      <right style="hair">
        <color rgb="FF000000"/>
      </right>
      <top style="hair">
        <color rgb="FF000000"/>
      </top>
    </border>
    <border>
      <left/>
      <right style="hair">
        <color rgb="FF000000"/>
      </right>
      <top style="hair">
        <color rgb="FF000000"/>
      </top>
      <bottom/>
    </border>
    <border>
      <left style="hair">
        <color rgb="FF000000"/>
      </left>
      <right style="hair">
        <color rgb="FF000000"/>
      </right>
    </border>
    <border>
      <left/>
      <right/>
      <top style="hair">
        <color rgb="FF000000"/>
      </top>
      <bottom style="hair">
        <color rgb="FF000000"/>
      </bottom>
    </border>
    <border>
      <left/>
      <right style="hair">
        <color rgb="FF000000"/>
      </right>
      <top style="hair">
        <color rgb="FF000000"/>
      </top>
      <bottom style="hair">
        <color rgb="FF000000"/>
      </bottom>
    </border>
    <border>
      <left/>
      <right/>
      <top style="hair">
        <color rgb="FF000000"/>
      </top>
      <bottom/>
    </border>
    <border>
      <left style="hair">
        <color rgb="FF000000"/>
      </left>
      <right style="hair">
        <color rgb="FF000000"/>
      </right>
      <bottom style="hair">
        <color rgb="FF000000"/>
      </bottom>
    </border>
    <border>
      <left style="hair">
        <color rgb="FF000000"/>
      </left>
      <right style="thin">
        <color rgb="FF000000"/>
      </right>
      <top/>
      <bottom/>
    </border>
    <border>
      <left/>
      <right style="thin">
        <color rgb="FF000000"/>
      </right>
      <top/>
      <bottom style="dotted">
        <color rgb="FF000000"/>
      </bottom>
    </border>
    <border>
      <left style="hair">
        <color rgb="FF000000"/>
      </left>
      <right/>
      <top style="hair">
        <color rgb="FF000000"/>
      </top>
    </border>
    <border>
      <right style="thin">
        <color rgb="FF000000"/>
      </right>
      <top style="dotted">
        <color rgb="FF000000"/>
      </top>
      <bottom style="dotted">
        <color rgb="FF000000"/>
      </bottom>
    </border>
    <border>
      <left style="thin">
        <color rgb="FF000000"/>
      </left>
      <right/>
      <top style="thin">
        <color rgb="FF000000"/>
      </top>
      <bottom style="thin">
        <color rgb="FF000000"/>
      </bottom>
    </border>
    <border>
      <top style="thin">
        <color rgb="FF000000"/>
      </top>
    </border>
    <border>
      <left style="hair">
        <color rgb="FF333333"/>
      </left>
      <top style="hair">
        <color rgb="FF333333"/>
      </top>
      <bottom style="hair">
        <color rgb="FF333333"/>
      </bottom>
    </border>
    <border>
      <top style="hair">
        <color rgb="FF333333"/>
      </top>
      <bottom style="hair">
        <color rgb="FF333333"/>
      </bottom>
    </border>
    <border>
      <right style="thin">
        <color rgb="FF000000"/>
      </right>
      <top style="hair">
        <color rgb="FF333333"/>
      </top>
      <bottom style="hair">
        <color rgb="FF333333"/>
      </bottom>
    </border>
    <border>
      <left style="thin">
        <color rgb="FF000000"/>
      </left>
      <right style="thin">
        <color rgb="FF000000"/>
      </right>
      <top/>
    </border>
    <border>
      <left style="hair">
        <color rgb="FF333333"/>
      </left>
      <top style="hair">
        <color rgb="FF333333"/>
      </top>
      <bottom style="dotted">
        <color rgb="FF000000"/>
      </bottom>
    </border>
    <border>
      <top style="hair">
        <color rgb="FF333333"/>
      </top>
      <bottom style="dotted">
        <color rgb="FF000000"/>
      </bottom>
    </border>
    <border>
      <right style="thin">
        <color rgb="FF000000"/>
      </right>
      <top style="hair">
        <color rgb="FF333333"/>
      </top>
      <bottom style="dotted">
        <color rgb="FF000000"/>
      </bottom>
    </border>
    <border>
      <left style="dotted">
        <color rgb="FF000000"/>
      </left>
      <top style="dotted">
        <color rgb="FF000000"/>
      </top>
      <bottom/>
    </border>
    <border>
      <left style="thin">
        <color rgb="FF000000"/>
      </left>
      <right style="thin">
        <color rgb="FF000000"/>
      </right>
      <top/>
      <bottom style="thin">
        <color rgb="FF000000"/>
      </bottom>
    </border>
    <border>
      <top style="dotted">
        <color rgb="FF000000"/>
      </top>
      <bottom/>
    </border>
    <border>
      <right style="thin">
        <color rgb="FF000000"/>
      </right>
      <top style="dotted">
        <color rgb="FF000000"/>
      </top>
      <bottom/>
    </border>
    <border>
      <left/>
      <right/>
      <top style="thin">
        <color rgb="FF000000"/>
      </top>
      <bottom style="thin">
        <color rgb="FF000000"/>
      </bottom>
    </border>
    <border>
      <left style="dotted">
        <color rgb="FF000000"/>
      </left>
      <top style="hair">
        <color rgb="FF000000"/>
      </top>
      <bottom style="dotted">
        <color rgb="FF000000"/>
      </bottom>
    </border>
    <border>
      <top style="hair">
        <color rgb="FF000000"/>
      </top>
      <bottom style="dotted">
        <color rgb="FF000000"/>
      </bottom>
    </border>
    <border>
      <right style="thin">
        <color rgb="FF000000"/>
      </right>
      <top style="hair">
        <color rgb="FF000000"/>
      </top>
      <bottom style="dotted">
        <color rgb="FF000000"/>
      </bottom>
    </border>
    <border>
      <left style="hair">
        <color rgb="FF000000"/>
      </left>
      <top style="dotted">
        <color rgb="FF000000"/>
      </top>
      <bottom style="dotted">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top style="hair">
        <color rgb="FF000000"/>
      </top>
      <bottom style="thin">
        <color rgb="FF000000"/>
      </bottom>
    </border>
    <border>
      <left style="hair">
        <color rgb="FF000000"/>
      </left>
      <top/>
      <bottom style="thin">
        <color rgb="FF000000"/>
      </bottom>
    </border>
    <border>
      <right style="hair">
        <color rgb="FF000000"/>
      </right>
      <top/>
      <bottom style="thin">
        <color rgb="FF000000"/>
      </bottom>
    </border>
    <border>
      <left style="dotted">
        <color rgb="FF000000"/>
      </left>
      <right/>
      <top style="dotted">
        <color rgb="FF000000"/>
      </top>
      <bottom style="dotted">
        <color rgb="FF000000"/>
      </bottom>
    </border>
    <border>
      <left/>
      <right style="dotted">
        <color rgb="FF000000"/>
      </right>
      <top style="dotted">
        <color rgb="FF000000"/>
      </top>
      <bottom style="dotted">
        <color rgb="FF000000"/>
      </bottom>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2" fillId="0" fontId="3" numFmtId="0" xfId="0" applyBorder="1" applyFont="1"/>
    <xf borderId="3" fillId="0" fontId="3" numFmtId="0" xfId="0" applyBorder="1" applyFont="1"/>
    <xf borderId="4" fillId="3" fontId="4" numFmtId="0" xfId="0" applyBorder="1" applyFill="1" applyFont="1"/>
    <xf borderId="5" fillId="2" fontId="2" numFmtId="0" xfId="0" applyAlignment="1" applyBorder="1" applyFill="1" applyFont="1">
      <alignment vertical="center"/>
    </xf>
    <xf borderId="6" fillId="3" fontId="4" numFmtId="0" xfId="0" applyBorder="1" applyFill="1" applyFont="1"/>
    <xf borderId="5" fillId="2" fontId="5" numFmtId="0" xfId="0" applyAlignment="1" applyBorder="1" applyFill="1" applyFont="1">
      <alignment vertical="center"/>
    </xf>
    <xf borderId="7" fillId="3" fontId="4" numFmtId="0" xfId="0" applyBorder="1" applyFill="1" applyFont="1"/>
    <xf borderId="8" fillId="3" fontId="6" numFmtId="0" xfId="0" applyBorder="1" applyFill="1" applyFont="1"/>
    <xf borderId="5" fillId="3" fontId="4" numFmtId="0" xfId="0" applyBorder="1" applyFill="1" applyFont="1"/>
    <xf borderId="9" fillId="3" fontId="4" numFmtId="0" xfId="0" applyBorder="1" applyFill="1" applyFont="1"/>
    <xf borderId="10" fillId="2" fontId="7" numFmtId="0" xfId="0" applyAlignment="1" applyBorder="1" applyFill="1" applyFont="1">
      <alignment horizontal="center" shrinkToFit="0" vertical="center" wrapText="1"/>
    </xf>
    <xf borderId="11" fillId="2" fontId="7" numFmtId="0" xfId="0" applyAlignment="1" applyBorder="1" applyFill="1" applyFont="1">
      <alignment shrinkToFit="0" vertical="center" wrapText="1"/>
    </xf>
    <xf borderId="5" fillId="3" fontId="8" numFmtId="0" xfId="0" applyBorder="1" applyFill="1" applyFont="1"/>
    <xf borderId="12" fillId="2" fontId="1" numFmtId="0" xfId="0" applyAlignment="1" applyBorder="1" applyFill="1" applyFont="1">
      <alignment horizontal="center" vertical="center"/>
    </xf>
    <xf borderId="13" fillId="4" fontId="5" numFmtId="0" xfId="0" applyAlignment="1" applyBorder="1" applyFill="1" applyFont="1">
      <alignment horizontal="left" shrinkToFit="0" vertical="center" wrapText="1"/>
    </xf>
    <xf borderId="14" fillId="0" fontId="3" numFmtId="0" xfId="0" applyBorder="1" applyFont="1"/>
    <xf borderId="15" fillId="0" fontId="3" numFmtId="0" xfId="0" applyBorder="1" applyFont="1"/>
    <xf borderId="16" fillId="0" fontId="3" numFmtId="0" xfId="0" applyBorder="1" applyFont="1"/>
    <xf borderId="8" fillId="2" fontId="2" numFmtId="0" xfId="0" applyAlignment="1" applyBorder="1" applyFill="1" applyFont="1">
      <alignment vertical="center"/>
    </xf>
    <xf borderId="17" fillId="0" fontId="3" numFmtId="0" xfId="0" applyBorder="1" applyFont="1"/>
    <xf borderId="18" fillId="2" fontId="7" numFmtId="0" xfId="0" applyAlignment="1" applyBorder="1" applyFill="1" applyFont="1">
      <alignment horizontal="center" shrinkToFit="0" vertical="center" wrapText="1"/>
    </xf>
    <xf borderId="8" fillId="3" fontId="4" numFmtId="0" xfId="0" applyBorder="1" applyFill="1" applyFont="1"/>
    <xf borderId="12" fillId="2" fontId="7" numFmtId="0" xfId="0" applyAlignment="1" applyBorder="1" applyFill="1" applyFont="1">
      <alignment horizontal="center" shrinkToFit="0" vertical="center" wrapText="1"/>
    </xf>
    <xf borderId="18" fillId="2" fontId="7" numFmtId="0" xfId="0" applyAlignment="1" applyBorder="1" applyFill="1" applyFont="1">
      <alignment shrinkToFit="0" vertical="center" wrapText="1"/>
    </xf>
    <xf borderId="19" fillId="2" fontId="7" numFmtId="0" xfId="0" applyAlignment="1" applyBorder="1" applyFill="1" applyFont="1">
      <alignment horizontal="center" shrinkToFit="0" vertical="center" wrapText="1"/>
    </xf>
    <xf borderId="20" fillId="4" fontId="5" numFmtId="0" xfId="0" applyAlignment="1" applyBorder="1" applyFill="1" applyFont="1">
      <alignment horizontal="left" shrinkToFit="0" vertical="center" wrapText="1"/>
    </xf>
    <xf borderId="21" fillId="0" fontId="3" numFmtId="0" xfId="0" applyBorder="1" applyFont="1"/>
    <xf borderId="22" fillId="2" fontId="7" numFmtId="0" xfId="0" applyAlignment="1" applyBorder="1" applyFill="1" applyFont="1">
      <alignment horizontal="center" shrinkToFit="0" vertical="center" wrapText="1"/>
    </xf>
    <xf borderId="23" fillId="0" fontId="3" numFmtId="0" xfId="0" applyBorder="1" applyFont="1"/>
    <xf borderId="19" fillId="2" fontId="7" numFmtId="0" xfId="0" applyAlignment="1" applyBorder="1" applyFill="1" applyFont="1">
      <alignment horizontal="left" shrinkToFit="0" vertical="center" wrapText="1"/>
    </xf>
    <xf borderId="19" fillId="5" fontId="7" numFmtId="0" xfId="0" applyAlignment="1" applyBorder="1" applyFill="1" applyFont="1">
      <alignment horizontal="center" shrinkToFit="0" vertical="center" wrapText="1"/>
    </xf>
    <xf borderId="20" fillId="4" fontId="2" numFmtId="0" xfId="0" applyAlignment="1" applyBorder="1" applyFill="1" applyFont="1">
      <alignment horizontal="left" shrinkToFit="0" vertical="center" wrapText="1"/>
    </xf>
    <xf borderId="24" fillId="0" fontId="2" numFmtId="0" xfId="0" applyAlignment="1" applyBorder="1" applyFont="1">
      <alignment horizontal="center" vertical="center"/>
    </xf>
    <xf borderId="24" fillId="0" fontId="2" numFmtId="0" xfId="0" applyAlignment="1" applyBorder="1" applyFont="1">
      <alignment horizontal="left" vertical="center"/>
    </xf>
    <xf borderId="20" fillId="4" fontId="9" numFmtId="0" xfId="0" applyAlignment="1" applyBorder="1" applyFill="1" applyFont="1">
      <alignment horizontal="left" shrinkToFit="0" vertical="center" wrapText="1"/>
    </xf>
    <xf borderId="12" fillId="0" fontId="2" numFmtId="0" xfId="0" applyAlignment="1" applyBorder="1" applyFont="1">
      <alignment shrinkToFit="0" vertical="center" wrapText="1"/>
    </xf>
    <xf borderId="19" fillId="0" fontId="9" numFmtId="0" xfId="0" applyAlignment="1" applyBorder="1" applyFont="1">
      <alignment horizontal="center" shrinkToFit="0" vertical="center" wrapText="1"/>
    </xf>
    <xf borderId="25" fillId="4" fontId="2" numFmtId="0" xfId="0" applyAlignment="1" applyBorder="1" applyFill="1" applyFont="1">
      <alignment horizontal="left" vertical="center"/>
    </xf>
    <xf quotePrefix="1" borderId="20" fillId="4" fontId="9" numFmtId="0" xfId="0" applyAlignment="1" applyBorder="1" applyFill="1" applyFont="1">
      <alignment horizontal="left" shrinkToFit="0" vertical="center" wrapText="1"/>
    </xf>
    <xf borderId="19" fillId="0" fontId="2" numFmtId="0" xfId="0" applyAlignment="1" applyBorder="1" applyFont="1">
      <alignment horizontal="center" vertical="center"/>
    </xf>
    <xf borderId="26" fillId="3" fontId="10" numFmtId="0" xfId="0" applyAlignment="1" applyBorder="1" applyFill="1" applyFont="1">
      <alignment horizontal="center"/>
    </xf>
    <xf borderId="19" fillId="0" fontId="2" numFmtId="0" xfId="0" applyAlignment="1" applyBorder="1" applyFont="1">
      <alignment vertical="center"/>
    </xf>
    <xf borderId="19" fillId="3" fontId="2" numFmtId="0" xfId="0" applyAlignment="1" applyBorder="1" applyFill="1" applyFont="1">
      <alignment horizontal="center" vertical="center"/>
    </xf>
    <xf borderId="27" fillId="0" fontId="3" numFmtId="0" xfId="0" applyBorder="1" applyFont="1"/>
    <xf borderId="19" fillId="0" fontId="2" numFmtId="164" xfId="0" applyAlignment="1" applyBorder="1" applyFont="1" applyNumberFormat="1">
      <alignment horizontal="center" vertical="center"/>
    </xf>
    <xf borderId="28" fillId="4" fontId="9" numFmtId="0" xfId="0" applyAlignment="1" applyBorder="1" applyFill="1" applyFont="1">
      <alignment horizontal="left" shrinkToFit="0" vertical="center" wrapText="1"/>
    </xf>
    <xf borderId="19" fillId="0" fontId="2" numFmtId="0" xfId="0" applyAlignment="1" applyBorder="1" applyFont="1">
      <alignment shrinkToFit="0" vertical="top" wrapText="1"/>
    </xf>
    <xf borderId="0" fillId="0" fontId="2" numFmtId="0" xfId="0" applyAlignment="1" applyFont="1">
      <alignment vertical="center"/>
    </xf>
    <xf borderId="8" fillId="3" fontId="11" numFmtId="0" xfId="0" applyBorder="1" applyFill="1" applyFont="1"/>
    <xf borderId="5" fillId="3" fontId="11" numFmtId="0" xfId="0" applyBorder="1" applyFill="1" applyFont="1"/>
    <xf borderId="29" fillId="0" fontId="3" numFmtId="0" xfId="0" applyBorder="1" applyFont="1"/>
    <xf borderId="5" fillId="3" fontId="12" numFmtId="0" xfId="0" applyAlignment="1" applyBorder="1" applyFill="1" applyFont="1">
      <alignment horizontal="center"/>
    </xf>
    <xf borderId="30" fillId="0" fontId="3" numFmtId="0" xfId="0" applyBorder="1" applyFont="1"/>
    <xf borderId="1" fillId="2" fontId="13" numFmtId="0" xfId="0" applyAlignment="1" applyBorder="1" applyFill="1" applyFont="1">
      <alignment horizontal="left" vertical="center"/>
    </xf>
    <xf borderId="31" fillId="2" fontId="7" numFmtId="0" xfId="0" applyAlignment="1" applyBorder="1" applyFill="1" applyFont="1">
      <alignment horizontal="center" shrinkToFit="0" vertical="center" wrapText="1"/>
    </xf>
    <xf borderId="9" fillId="3" fontId="11" numFmtId="0" xfId="0" applyBorder="1" applyFill="1" applyFont="1"/>
    <xf borderId="32" fillId="2" fontId="7" numFmtId="0" xfId="0" applyAlignment="1" applyBorder="1" applyFill="1" applyFont="1">
      <alignment horizontal="left" shrinkToFit="0" vertical="center" wrapText="1"/>
    </xf>
    <xf borderId="5" fillId="2" fontId="9" numFmtId="0" xfId="0" applyAlignment="1" applyBorder="1" applyFill="1" applyFont="1">
      <alignment vertical="center"/>
    </xf>
    <xf borderId="26" fillId="3" fontId="14" numFmtId="0" xfId="0" applyAlignment="1" applyBorder="1" applyFill="1" applyFont="1">
      <alignment horizontal="center"/>
    </xf>
    <xf borderId="28" fillId="4" fontId="9" numFmtId="0" xfId="0" applyAlignment="1" applyBorder="1" applyFill="1" applyFont="1">
      <alignment horizontal="left" shrinkToFit="0" vertical="top" wrapText="1"/>
    </xf>
    <xf borderId="5" fillId="2" fontId="9" numFmtId="0" xfId="0" applyBorder="1" applyFill="1" applyFont="1"/>
    <xf borderId="33" fillId="2" fontId="7" numFmtId="0" xfId="0" applyAlignment="1" applyBorder="1" applyFill="1" applyFont="1">
      <alignment horizontal="center" shrinkToFit="0" vertical="center" wrapText="1"/>
    </xf>
    <xf borderId="34" fillId="0" fontId="3" numFmtId="0" xfId="0" applyBorder="1" applyFont="1"/>
    <xf borderId="35" fillId="0" fontId="3" numFmtId="0" xfId="0" applyBorder="1" applyFont="1"/>
    <xf borderId="36" fillId="4" fontId="15" numFmtId="0" xfId="0" applyAlignment="1" applyBorder="1" applyFill="1" applyFont="1">
      <alignment horizontal="left" shrinkToFit="0" vertical="top" wrapText="1"/>
    </xf>
    <xf borderId="5" fillId="4" fontId="15" numFmtId="0" xfId="0" applyAlignment="1" applyBorder="1" applyFill="1" applyFont="1">
      <alignment horizontal="left" shrinkToFit="0" vertical="top" wrapText="1"/>
    </xf>
    <xf quotePrefix="1" borderId="12" fillId="0" fontId="2" numFmtId="0" xfId="0" applyAlignment="1" applyBorder="1" applyFont="1">
      <alignment shrinkToFit="0" vertical="center" wrapText="1"/>
    </xf>
    <xf borderId="37" fillId="6" fontId="16" numFmtId="0" xfId="0" applyAlignment="1" applyBorder="1" applyFill="1" applyFont="1">
      <alignment horizontal="left" vertical="center"/>
    </xf>
    <xf borderId="33" fillId="2" fontId="13" numFmtId="15" xfId="0" applyAlignment="1" applyBorder="1" applyFill="1" applyFont="1" applyNumberFormat="1">
      <alignment shrinkToFit="0" vertical="top" wrapText="1"/>
    </xf>
    <xf borderId="38" fillId="0" fontId="3" numFmtId="0" xfId="0" applyBorder="1" applyFont="1"/>
    <xf borderId="39" fillId="0" fontId="3" numFmtId="0" xfId="0" applyBorder="1" applyFont="1"/>
    <xf borderId="33" fillId="4" fontId="2" numFmtId="0" xfId="0" applyAlignment="1" applyBorder="1" applyFill="1" applyFont="1">
      <alignment shrinkToFit="0" vertical="top" wrapText="1"/>
    </xf>
    <xf borderId="40" fillId="6" fontId="7" numFmtId="0" xfId="0" applyAlignment="1" applyBorder="1" applyFill="1" applyFont="1">
      <alignment horizontal="center" vertical="center"/>
    </xf>
    <xf borderId="33" fillId="2" fontId="13" numFmtId="0" xfId="0" applyAlignment="1" applyBorder="1" applyFill="1" applyFont="1">
      <alignment shrinkToFit="0" vertical="top" wrapText="1"/>
    </xf>
    <xf borderId="41" fillId="6" fontId="16" numFmtId="0" xfId="0" applyAlignment="1" applyBorder="1" applyFill="1" applyFont="1">
      <alignment horizontal="left" vertical="center"/>
    </xf>
    <xf borderId="12" fillId="6" fontId="7" numFmtId="49" xfId="0" applyAlignment="1" applyBorder="1" applyFill="1" applyFont="1" applyNumberFormat="1">
      <alignment horizontal="center" vertical="center"/>
    </xf>
    <xf borderId="33" fillId="2" fontId="17" numFmtId="0" xfId="0" applyAlignment="1" applyBorder="1" applyFill="1" applyFont="1">
      <alignment shrinkToFit="0" vertical="center" wrapText="1"/>
    </xf>
    <xf borderId="33" fillId="2" fontId="18" numFmtId="0" xfId="0" applyAlignment="1" applyBorder="1" applyFill="1" applyFont="1">
      <alignment shrinkToFit="0" vertical="center" wrapText="1"/>
    </xf>
    <xf borderId="42" fillId="2" fontId="7" numFmtId="0" xfId="0" applyAlignment="1" applyBorder="1" applyFill="1" applyFont="1">
      <alignment shrinkToFit="0" vertical="center" wrapText="1"/>
    </xf>
    <xf borderId="43" fillId="6" fontId="16" numFmtId="0" xfId="0" applyAlignment="1" applyBorder="1" applyFill="1" applyFont="1">
      <alignment horizontal="left" vertical="center"/>
    </xf>
    <xf borderId="44" fillId="0" fontId="3" numFmtId="0" xfId="0" applyBorder="1" applyFont="1"/>
    <xf borderId="45" fillId="0" fontId="3" numFmtId="0" xfId="0" applyBorder="1" applyFont="1"/>
    <xf borderId="46" fillId="6" fontId="7" numFmtId="165" xfId="0" applyAlignment="1" applyBorder="1" applyFill="1" applyFont="1" applyNumberFormat="1">
      <alignment horizontal="center" vertical="center"/>
    </xf>
    <xf borderId="42" fillId="3" fontId="2" numFmtId="0" xfId="0" applyAlignment="1" applyBorder="1" applyFill="1" applyFont="1">
      <alignment shrinkToFit="0" vertical="center" wrapText="1"/>
    </xf>
    <xf borderId="33" fillId="4" fontId="2" numFmtId="0" xfId="0" applyAlignment="1" applyBorder="1" applyFill="1" applyFont="1">
      <alignment horizontal="left" shrinkToFit="0" vertical="center" wrapText="1"/>
    </xf>
    <xf borderId="33" fillId="4" fontId="2" numFmtId="0" xfId="0" applyAlignment="1" applyBorder="1" applyFill="1" applyFont="1">
      <alignment shrinkToFit="0" vertical="center" wrapText="1"/>
    </xf>
    <xf borderId="42" fillId="4" fontId="9" numFmtId="0" xfId="0" applyAlignment="1" applyBorder="1" applyFill="1" applyFont="1">
      <alignment shrinkToFit="0" vertical="center" wrapText="1"/>
    </xf>
    <xf borderId="33" fillId="3" fontId="2" numFmtId="0" xfId="0" applyAlignment="1" applyBorder="1" applyFill="1" applyFont="1">
      <alignment shrinkToFit="0" vertical="center" wrapText="1"/>
    </xf>
    <xf borderId="33" fillId="4" fontId="9" numFmtId="15" xfId="0" applyAlignment="1" applyBorder="1" applyFill="1" applyFont="1" applyNumberFormat="1">
      <alignment shrinkToFit="0" vertical="top" wrapText="1"/>
    </xf>
    <xf borderId="47" fillId="4" fontId="9" numFmtId="0" xfId="0" applyAlignment="1" applyBorder="1" applyFill="1" applyFont="1">
      <alignment shrinkToFit="0" vertical="center" wrapText="1"/>
    </xf>
    <xf borderId="33" fillId="4" fontId="9" numFmtId="0" xfId="0" applyAlignment="1" applyBorder="1" applyFill="1" applyFont="1">
      <alignment shrinkToFit="0" vertical="top" wrapText="1"/>
    </xf>
    <xf borderId="33" fillId="4" fontId="9" numFmtId="0" xfId="0" applyAlignment="1" applyBorder="1" applyFill="1" applyFont="1">
      <alignment horizontal="center" shrinkToFit="0" vertical="center" wrapText="1"/>
    </xf>
    <xf borderId="48" fillId="4" fontId="2" numFmtId="0" xfId="0" applyAlignment="1" applyBorder="1" applyFill="1" applyFont="1">
      <alignment horizontal="left" shrinkToFit="0" vertical="center" wrapText="1"/>
    </xf>
    <xf borderId="49" fillId="3" fontId="4" numFmtId="0" xfId="0" applyBorder="1" applyFill="1" applyFont="1"/>
    <xf borderId="48" fillId="4" fontId="2" numFmtId="0" xfId="0" applyAlignment="1" applyBorder="1" applyFill="1" applyFont="1">
      <alignment shrinkToFit="0" vertical="center" wrapText="1"/>
    </xf>
    <xf borderId="50" fillId="3" fontId="4" numFmtId="0" xfId="0" applyBorder="1" applyFill="1" applyFont="1"/>
    <xf borderId="9" fillId="4" fontId="9" numFmtId="0" xfId="0" applyAlignment="1" applyBorder="1" applyFill="1" applyFont="1">
      <alignment shrinkToFit="0" vertical="center" wrapText="1"/>
    </xf>
    <xf borderId="51" fillId="3" fontId="4" numFmtId="0" xfId="0" applyBorder="1" applyFill="1" applyFont="1"/>
    <xf borderId="52" fillId="2" fontId="2" numFmtId="0" xfId="0" applyAlignment="1" applyBorder="1" applyFill="1" applyFont="1">
      <alignment vertical="center"/>
    </xf>
    <xf borderId="53" fillId="4" fontId="2" numFmtId="0" xfId="0" applyAlignment="1" applyBorder="1" applyFill="1" applyFont="1">
      <alignment shrinkToFit="0" vertical="center" wrapText="1"/>
    </xf>
    <xf borderId="53" fillId="4" fontId="2" numFmtId="0" xfId="0" applyAlignment="1" applyBorder="1" applyFill="1" applyFont="1">
      <alignment horizontal="left" shrinkToFit="0" vertical="center" wrapText="1"/>
    </xf>
    <xf borderId="54" fillId="4" fontId="9" numFmtId="0" xfId="0" applyAlignment="1" applyBorder="1" applyFill="1" applyFont="1">
      <alignment shrinkToFit="0" vertical="center" wrapText="1"/>
    </xf>
    <xf borderId="55" fillId="4" fontId="2" numFmtId="0" xfId="0" applyAlignment="1" applyBorder="1" applyFill="1" applyFont="1">
      <alignment shrinkToFit="0" vertical="center" wrapText="1"/>
    </xf>
    <xf borderId="56" fillId="4" fontId="9" numFmtId="0" xfId="0" applyAlignment="1" applyBorder="1" applyFill="1" applyFont="1">
      <alignment shrinkToFit="0" vertical="center" wrapText="1"/>
    </xf>
    <xf borderId="47" fillId="2" fontId="18" numFmtId="0" xfId="0" applyAlignment="1" applyBorder="1" applyFill="1" applyFont="1">
      <alignment shrinkToFit="0" vertical="center" wrapText="1"/>
    </xf>
    <xf borderId="33" fillId="3" fontId="19" numFmtId="0" xfId="0" applyAlignment="1" applyBorder="1" applyFill="1" applyFont="1">
      <alignment shrinkToFit="0" wrapText="1"/>
    </xf>
    <xf borderId="48" fillId="3" fontId="2" numFmtId="0" xfId="0" applyAlignment="1" applyBorder="1" applyFill="1" applyFont="1">
      <alignment shrinkToFit="0" wrapText="1"/>
    </xf>
    <xf borderId="33" fillId="3" fontId="9" numFmtId="0" xfId="0" applyAlignment="1" applyBorder="1" applyFill="1" applyFont="1">
      <alignment shrinkToFit="0" wrapText="1"/>
    </xf>
    <xf borderId="47" fillId="3" fontId="9" numFmtId="0" xfId="0" applyAlignment="1" applyBorder="1" applyFill="1" applyFont="1">
      <alignment shrinkToFit="0" wrapText="1"/>
    </xf>
    <xf borderId="48" fillId="3" fontId="20" numFmtId="0" xfId="0" applyAlignment="1" applyBorder="1" applyFill="1" applyFont="1">
      <alignment shrinkToFit="0" wrapText="1"/>
    </xf>
    <xf borderId="48" fillId="3" fontId="20" numFmtId="0" xfId="0" applyAlignment="1" applyBorder="1" applyFill="1" applyFont="1">
      <alignment shrinkToFit="0" vertical="top" wrapText="1"/>
    </xf>
    <xf borderId="33" fillId="3" fontId="21" numFmtId="0" xfId="0" applyAlignment="1" applyBorder="1" applyFill="1" applyFont="1">
      <alignment horizontal="center" shrinkToFit="0" vertical="center" wrapText="1"/>
    </xf>
    <xf borderId="33" fillId="3" fontId="21" numFmtId="0" xfId="0" applyAlignment="1" applyBorder="1" applyFill="1" applyFont="1">
      <alignment shrinkToFit="0" vertical="center" wrapText="1"/>
    </xf>
    <xf borderId="47" fillId="4" fontId="9" numFmtId="0" xfId="0" applyAlignment="1" applyBorder="1" applyFill="1" applyFont="1">
      <alignment horizontal="center" shrinkToFit="0" vertical="center" wrapText="1"/>
    </xf>
    <xf borderId="57" fillId="0" fontId="3" numFmtId="0" xfId="0" applyBorder="1" applyFont="1"/>
    <xf borderId="58" fillId="0" fontId="3" numFmtId="0" xfId="0" applyBorder="1" applyFont="1"/>
    <xf borderId="33" fillId="4" fontId="15" numFmtId="0" xfId="0" applyAlignment="1" applyBorder="1" applyFill="1" applyFont="1">
      <alignment shrinkToFit="0" vertical="center" wrapText="1"/>
    </xf>
    <xf borderId="33" fillId="4" fontId="9" numFmtId="0" xfId="0" applyAlignment="1" applyBorder="1" applyFill="1" applyFont="1">
      <alignment horizontal="left" shrinkToFit="0" vertical="center" wrapText="1"/>
    </xf>
    <xf borderId="59" fillId="2" fontId="7" numFmtId="0" xfId="0" applyAlignment="1" applyBorder="1" applyFill="1" applyFont="1">
      <alignment horizontal="center" shrinkToFit="0" vertical="center" wrapText="1"/>
    </xf>
    <xf borderId="60" fillId="2" fontId="7" numFmtId="0" xfId="0" applyAlignment="1" applyBorder="1" applyFill="1" applyFont="1">
      <alignment horizontal="left" shrinkToFit="0" vertical="center" wrapText="1"/>
    </xf>
    <xf borderId="61" fillId="2" fontId="18" numFmtId="0" xfId="0" applyAlignment="1" applyBorder="1" applyFill="1" applyFont="1">
      <alignment shrinkToFit="0" vertical="center" wrapText="1"/>
    </xf>
    <xf borderId="62" fillId="0" fontId="3" numFmtId="0" xfId="0" applyBorder="1" applyFont="1"/>
    <xf borderId="63" fillId="3" fontId="2" numFmtId="0" xfId="0" applyBorder="1" applyFill="1" applyFont="1"/>
    <xf borderId="53" fillId="3" fontId="2" numFmtId="0" xfId="0" applyAlignment="1" applyBorder="1" applyFill="1" applyFont="1">
      <alignment shrinkToFit="0" wrapText="1"/>
    </xf>
    <xf borderId="33" fillId="4" fontId="5" numFmtId="0" xfId="0" applyAlignment="1" applyBorder="1" applyFill="1" applyFont="1">
      <alignment shrinkToFit="0" vertical="center" wrapText="1"/>
    </xf>
    <xf borderId="47" fillId="4" fontId="5" numFmtId="0" xfId="0" applyAlignment="1" applyBorder="1" applyFill="1" applyFont="1">
      <alignment shrinkToFit="0" vertical="center" wrapText="1"/>
    </xf>
    <xf borderId="64" fillId="3" fontId="2" numFmtId="0" xfId="0" applyAlignment="1" applyBorder="1" applyFill="1" applyFont="1">
      <alignment shrinkToFit="0" wrapText="1"/>
    </xf>
    <xf borderId="65" fillId="3" fontId="2" numFmtId="0" xfId="0" applyAlignment="1" applyBorder="1" applyFill="1" applyFont="1">
      <alignment shrinkToFit="0" vertical="center" wrapText="1"/>
    </xf>
    <xf borderId="61" fillId="3" fontId="2" numFmtId="0" xfId="0" applyAlignment="1" applyBorder="1" applyFill="1" applyFont="1">
      <alignment shrinkToFit="0" vertical="center" wrapText="1"/>
    </xf>
    <xf borderId="66" fillId="0" fontId="3" numFmtId="0" xfId="0" applyBorder="1" applyFont="1"/>
    <xf borderId="64" fillId="4" fontId="5" numFmtId="0" xfId="0" applyAlignment="1" applyBorder="1" applyFill="1" applyFont="1">
      <alignment shrinkToFit="0" vertical="center" wrapText="1"/>
    </xf>
    <xf borderId="19" fillId="0" fontId="22" numFmtId="0" xfId="0" applyAlignment="1" applyBorder="1" applyFont="1">
      <alignment horizontal="center" vertical="center"/>
    </xf>
    <xf borderId="60" fillId="2" fontId="7" numFmtId="0" xfId="0" applyAlignment="1" applyBorder="1" applyFill="1" applyFont="1">
      <alignment shrinkToFit="0" vertical="center" wrapText="1"/>
    </xf>
    <xf borderId="48" fillId="2" fontId="23" numFmtId="0" xfId="0" applyAlignment="1" applyBorder="1" applyFill="1" applyFont="1">
      <alignment shrinkToFit="0" vertical="center" wrapText="1"/>
    </xf>
    <xf borderId="48" fillId="2" fontId="2" numFmtId="9" xfId="0" applyAlignment="1" applyBorder="1" applyFill="1" applyFont="1" applyNumberFormat="1">
      <alignment horizontal="center" shrinkToFit="0" vertical="center" wrapText="1"/>
    </xf>
    <xf borderId="48" fillId="4" fontId="5" numFmtId="0" xfId="0" applyAlignment="1" applyBorder="1" applyFill="1" applyFont="1">
      <alignment shrinkToFit="0" vertical="center" wrapText="1"/>
    </xf>
    <xf borderId="56" fillId="4" fontId="5" numFmtId="0" xfId="0" applyAlignment="1" applyBorder="1" applyFill="1" applyFont="1">
      <alignment shrinkToFit="0" vertical="center" wrapText="1"/>
    </xf>
    <xf borderId="48" fillId="3" fontId="5" numFmtId="0" xfId="0" applyAlignment="1" applyBorder="1" applyFill="1" applyFont="1">
      <alignment shrinkToFit="0" wrapText="1"/>
    </xf>
    <xf borderId="9" fillId="4" fontId="5" numFmtId="0" xfId="0" applyAlignment="1" applyBorder="1" applyFill="1" applyFont="1">
      <alignment shrinkToFit="0" vertical="center" wrapText="1"/>
    </xf>
    <xf borderId="33" fillId="2" fontId="23" numFmtId="0" xfId="0" applyAlignment="1" applyBorder="1" applyFill="1" applyFont="1">
      <alignment shrinkToFit="0" vertical="center" wrapText="1"/>
    </xf>
    <xf borderId="67" fillId="4" fontId="5" numFmtId="0" xfId="0" applyAlignment="1" applyBorder="1" applyFill="1" applyFont="1">
      <alignment shrinkToFit="0" vertical="center" wrapText="1"/>
    </xf>
    <xf borderId="53" fillId="4" fontId="5" numFmtId="0" xfId="0" applyAlignment="1" applyBorder="1" applyFill="1" applyFont="1">
      <alignment shrinkToFit="0" vertical="center" wrapText="1"/>
    </xf>
    <xf borderId="68" fillId="4" fontId="5" numFmtId="0" xfId="0" applyAlignment="1" applyBorder="1" applyFill="1" applyFont="1">
      <alignment shrinkToFit="0" vertical="center" wrapText="1"/>
    </xf>
    <xf borderId="69" fillId="2" fontId="23" numFmtId="0" xfId="0" applyAlignment="1" applyBorder="1" applyFill="1" applyFont="1">
      <alignment shrinkToFit="0" vertical="center" wrapText="1"/>
    </xf>
    <xf borderId="28" fillId="3" fontId="5" numFmtId="0" xfId="0" applyAlignment="1" applyBorder="1" applyFill="1" applyFont="1">
      <alignment shrinkToFit="0" vertical="center" wrapText="1"/>
    </xf>
    <xf borderId="70" fillId="0" fontId="3" numFmtId="0" xfId="0" applyBorder="1" applyFont="1"/>
    <xf quotePrefix="1" borderId="14" fillId="0" fontId="2" numFmtId="0" xfId="0" applyAlignment="1" applyBorder="1" applyFont="1">
      <alignment shrinkToFit="0" vertical="center" wrapText="1"/>
    </xf>
    <xf borderId="24" fillId="0" fontId="2" numFmtId="0" xfId="0" applyAlignment="1" applyBorder="1" applyFont="1">
      <alignment shrinkToFit="0" vertical="top" wrapText="1"/>
    </xf>
    <xf borderId="14" fillId="0" fontId="2" numFmtId="0" xfId="0" applyAlignment="1" applyBorder="1" applyFont="1">
      <alignment shrinkToFit="0" vertical="center" wrapText="1"/>
    </xf>
    <xf borderId="71" fillId="3" fontId="2" numFmtId="0" xfId="0" applyAlignment="1" applyBorder="1" applyFill="1" applyFont="1">
      <alignment horizontal="center" vertical="center"/>
    </xf>
    <xf quotePrefix="1" borderId="72" fillId="0" fontId="2" numFmtId="0" xfId="0" applyAlignment="1" applyBorder="1" applyFont="1">
      <alignment shrinkToFit="0" vertical="center" wrapText="1"/>
    </xf>
    <xf borderId="7" fillId="4" fontId="2" numFmtId="0" xfId="0" applyAlignment="1" applyBorder="1" applyFill="1" applyFont="1">
      <alignment horizontal="left" vertical="center"/>
    </xf>
    <xf borderId="24" fillId="0" fontId="2" numFmtId="0" xfId="0" applyAlignment="1" applyBorder="1" applyFont="1">
      <alignment vertical="center"/>
    </xf>
    <xf borderId="4" fillId="3" fontId="2" numFmtId="0" xfId="0" applyAlignment="1" applyBorder="1" applyFill="1" applyFont="1">
      <alignment horizontal="center" vertical="center"/>
    </xf>
    <xf borderId="42" fillId="2" fontId="23" numFmtId="0" xfId="0" applyAlignment="1" applyBorder="1" applyFill="1" applyFont="1">
      <alignment shrinkToFit="0" vertical="center" wrapText="1"/>
    </xf>
    <xf borderId="12" fillId="0" fontId="2" numFmtId="0" xfId="0" applyAlignment="1" applyBorder="1" applyFont="1">
      <alignment horizontal="center" vertical="center"/>
    </xf>
    <xf borderId="71" fillId="3" fontId="2" numFmtId="0" xfId="0" applyAlignment="1" applyBorder="1" applyFill="1" applyFont="1">
      <alignment shrinkToFit="0" vertical="center" wrapText="1"/>
    </xf>
    <xf borderId="19" fillId="4" fontId="2" numFmtId="2" xfId="0" applyAlignment="1" applyBorder="1" applyFill="1" applyFont="1" applyNumberFormat="1">
      <alignment horizontal="center" vertical="center"/>
    </xf>
    <xf borderId="50" fillId="3" fontId="2" numFmtId="0" xfId="0" applyAlignment="1" applyBorder="1" applyFill="1" applyFont="1">
      <alignment shrinkToFit="0" vertical="center" wrapText="1"/>
    </xf>
    <xf borderId="73" fillId="3" fontId="2" numFmtId="0" xfId="0" applyAlignment="1" applyBorder="1" applyFill="1" applyFont="1">
      <alignment shrinkToFit="0" vertical="center" wrapText="1"/>
    </xf>
    <xf borderId="74" fillId="0" fontId="3" numFmtId="0" xfId="0" applyBorder="1" applyFont="1"/>
    <xf borderId="75" fillId="0" fontId="3" numFmtId="0" xfId="0" applyBorder="1" applyFont="1"/>
    <xf borderId="29" fillId="0" fontId="2" numFmtId="0" xfId="0" applyAlignment="1" applyBorder="1" applyFont="1">
      <alignment horizontal="center" vertical="center"/>
    </xf>
    <xf borderId="29" fillId="0" fontId="2" numFmtId="0" xfId="0" applyAlignment="1" applyBorder="1" applyFont="1">
      <alignment horizontal="left" vertical="center"/>
    </xf>
    <xf borderId="73" fillId="0" fontId="2" numFmtId="0" xfId="0" applyAlignment="1" applyBorder="1" applyFont="1">
      <alignment shrinkToFit="0" vertical="center" wrapText="1"/>
    </xf>
    <xf borderId="76" fillId="4" fontId="2" numFmtId="0" xfId="0" applyAlignment="1" applyBorder="1" applyFill="1" applyFont="1">
      <alignment horizontal="center" vertical="center"/>
    </xf>
    <xf borderId="71" fillId="4" fontId="2" numFmtId="0" xfId="0" applyAlignment="1" applyBorder="1" applyFill="1" applyFont="1">
      <alignment shrinkToFit="0" vertical="center" wrapText="1"/>
    </xf>
    <xf borderId="25" fillId="4" fontId="2" numFmtId="0" xfId="0" applyAlignment="1" applyBorder="1" applyFill="1" applyFont="1">
      <alignment vertical="center"/>
    </xf>
    <xf borderId="77" fillId="0" fontId="2" numFmtId="0" xfId="0" applyAlignment="1" applyBorder="1" applyFont="1">
      <alignment shrinkToFit="0" vertical="center" wrapText="1"/>
    </xf>
    <xf borderId="78" fillId="0" fontId="3" numFmtId="0" xfId="0" applyBorder="1" applyFont="1"/>
    <xf borderId="79" fillId="0" fontId="3" numFmtId="0" xfId="0" applyBorder="1" applyFont="1"/>
    <xf borderId="80" fillId="3" fontId="2" numFmtId="0" xfId="0" applyAlignment="1" applyBorder="1" applyFill="1" applyFont="1">
      <alignment shrinkToFit="0" vertical="center" wrapText="1"/>
    </xf>
    <xf borderId="81" fillId="3" fontId="2" numFmtId="0" xfId="0" applyAlignment="1" applyBorder="1" applyFill="1" applyFont="1">
      <alignment horizontal="center" vertical="center"/>
    </xf>
    <xf borderId="82" fillId="0" fontId="3" numFmtId="0" xfId="0" applyBorder="1" applyFont="1"/>
    <xf borderId="83" fillId="0" fontId="3" numFmtId="0" xfId="0" applyBorder="1" applyFont="1"/>
    <xf borderId="30" fillId="0" fontId="2" numFmtId="0" xfId="0" applyAlignment="1" applyBorder="1" applyFont="1">
      <alignment vertical="center"/>
    </xf>
    <xf borderId="19" fillId="4" fontId="2" numFmtId="0" xfId="0" applyAlignment="1" applyBorder="1" applyFill="1" applyFont="1">
      <alignment horizontal="left" vertical="center"/>
    </xf>
    <xf borderId="19" fillId="4" fontId="2" numFmtId="0" xfId="0" applyAlignment="1" applyBorder="1" applyFill="1" applyFont="1">
      <alignment horizontal="center" vertical="center"/>
    </xf>
    <xf borderId="84" fillId="4" fontId="2" numFmtId="0" xfId="0" applyAlignment="1" applyBorder="1" applyFill="1" applyFont="1">
      <alignment vertical="center"/>
    </xf>
    <xf quotePrefix="1" borderId="85" fillId="3" fontId="2" numFmtId="0" xfId="0" applyAlignment="1" applyBorder="1" applyFill="1" applyFont="1">
      <alignment shrinkToFit="0" wrapText="1"/>
    </xf>
    <xf borderId="17" fillId="0" fontId="2" numFmtId="0" xfId="0" applyAlignment="1" applyBorder="1" applyFont="1">
      <alignment vertical="center"/>
    </xf>
    <xf borderId="86" fillId="0" fontId="3" numFmtId="0" xfId="0" applyBorder="1" applyFont="1"/>
    <xf borderId="87" fillId="0" fontId="3" numFmtId="0" xfId="0" applyBorder="1" applyFont="1"/>
    <xf borderId="0" fillId="0" fontId="2" numFmtId="0" xfId="0" applyAlignment="1" applyFont="1">
      <alignment horizontal="left" vertical="center"/>
    </xf>
    <xf borderId="0" fillId="0" fontId="2" numFmtId="0" xfId="0" applyAlignment="1" applyFont="1">
      <alignment horizontal="center" vertical="center"/>
    </xf>
    <xf quotePrefix="1" borderId="88" fillId="4" fontId="2" numFmtId="0" xfId="0" applyAlignment="1" applyBorder="1" applyFill="1" applyFont="1">
      <alignment shrinkToFit="0" vertical="center" wrapText="1"/>
    </xf>
    <xf quotePrefix="1" borderId="28" fillId="4" fontId="5" numFmtId="0" xfId="0" applyAlignment="1" applyBorder="1" applyFill="1" applyFont="1">
      <alignment shrinkToFit="0" vertical="center" wrapText="1"/>
    </xf>
    <xf borderId="19" fillId="2" fontId="7" numFmtId="0" xfId="0" applyAlignment="1" applyBorder="1" applyFill="1" applyFont="1">
      <alignment horizontal="left"/>
    </xf>
    <xf borderId="18" fillId="4" fontId="5" numFmtId="0" xfId="0" applyAlignment="1" applyBorder="1" applyFill="1" applyFont="1">
      <alignment horizontal="center" shrinkToFit="0" vertical="center" wrapText="1"/>
    </xf>
    <xf borderId="28" fillId="4" fontId="5" numFmtId="0" xfId="0" applyAlignment="1" applyBorder="1" applyFill="1" applyFont="1">
      <alignment horizontal="left" shrinkToFit="0" vertical="center" wrapText="1"/>
    </xf>
    <xf borderId="19" fillId="2" fontId="2" numFmtId="2" xfId="0" applyAlignment="1" applyBorder="1" applyFill="1" applyFont="1" applyNumberFormat="1">
      <alignment horizontal="center"/>
    </xf>
    <xf borderId="19" fillId="2" fontId="2" numFmtId="9" xfId="0" applyAlignment="1" applyBorder="1" applyFill="1" applyFont="1" applyNumberFormat="1">
      <alignment horizontal="left"/>
    </xf>
    <xf borderId="81" fillId="2" fontId="7" numFmtId="0" xfId="0" applyAlignment="1" applyBorder="1" applyFill="1" applyFont="1">
      <alignment horizontal="left"/>
    </xf>
    <xf borderId="71" fillId="2" fontId="7" numFmtId="0" xfId="0" applyAlignment="1" applyBorder="1" applyFill="1" applyFont="1">
      <alignment horizontal="left"/>
    </xf>
    <xf borderId="22" fillId="2" fontId="7" numFmtId="0" xfId="0" applyAlignment="1" applyBorder="1" applyFill="1" applyFont="1">
      <alignment horizontal="left"/>
    </xf>
    <xf borderId="22" fillId="2" fontId="7" numFmtId="9" xfId="0" applyAlignment="1" applyBorder="1" applyFill="1" applyFont="1" applyNumberFormat="1">
      <alignment horizontal="left"/>
    </xf>
    <xf borderId="81" fillId="7" fontId="7" numFmtId="0" xfId="0" applyAlignment="1" applyBorder="1" applyFill="1" applyFont="1">
      <alignment horizontal="left"/>
    </xf>
    <xf borderId="81" fillId="7" fontId="7" numFmtId="0" xfId="0" applyBorder="1" applyFill="1" applyFont="1"/>
    <xf borderId="19" fillId="2" fontId="2" numFmtId="2" xfId="0" applyAlignment="1" applyBorder="1" applyFill="1" applyFont="1" applyNumberFormat="1">
      <alignment horizontal="center" shrinkToFit="0" wrapText="1"/>
    </xf>
    <xf borderId="19" fillId="2" fontId="2" numFmtId="9" xfId="0" applyAlignment="1" applyBorder="1" applyFill="1" applyFont="1" applyNumberFormat="1">
      <alignment horizontal="left" shrinkToFit="0" wrapText="1"/>
    </xf>
    <xf borderId="81" fillId="7" fontId="7" numFmtId="0" xfId="0" applyAlignment="1" applyBorder="1" applyFill="1" applyFont="1">
      <alignment horizontal="left" shrinkToFit="0" wrapText="1"/>
    </xf>
    <xf borderId="81" fillId="7" fontId="2" numFmtId="2" xfId="0" applyAlignment="1" applyBorder="1" applyFill="1" applyFont="1" applyNumberFormat="1">
      <alignment horizontal="center" shrinkToFit="0" wrapText="1"/>
    </xf>
    <xf borderId="81" fillId="7" fontId="7" numFmtId="9" xfId="0" applyAlignment="1" applyBorder="1" applyFill="1" applyFont="1" applyNumberFormat="1">
      <alignment horizontal="left" shrinkToFit="0" wrapText="1"/>
    </xf>
    <xf borderId="0" fillId="0" fontId="2" numFmtId="0" xfId="0" applyAlignment="1" applyFont="1">
      <alignment horizontal="left"/>
    </xf>
    <xf borderId="0" fillId="0" fontId="2" numFmtId="0" xfId="0" applyAlignment="1" applyFont="1">
      <alignment horizontal="center"/>
    </xf>
    <xf quotePrefix="1" borderId="89" fillId="4" fontId="2" numFmtId="0" xfId="0" applyAlignment="1" applyBorder="1" applyFill="1" applyFont="1">
      <alignment shrinkToFit="0" vertical="center" wrapText="1"/>
    </xf>
    <xf borderId="90" fillId="0" fontId="3" numFmtId="0" xfId="0" applyBorder="1" applyFont="1"/>
    <xf borderId="91" fillId="0" fontId="3" numFmtId="0" xfId="0" applyBorder="1" applyFont="1"/>
    <xf borderId="89" fillId="4" fontId="2" numFmtId="0" xfId="0" applyAlignment="1" applyBorder="1" applyFill="1" applyFont="1">
      <alignment shrinkToFit="0" vertical="center" wrapText="1"/>
    </xf>
    <xf borderId="92" fillId="2" fontId="23" numFmtId="0" xfId="0" applyAlignment="1" applyBorder="1" applyFill="1" applyFont="1">
      <alignment shrinkToFit="0" vertical="center" wrapText="1"/>
    </xf>
    <xf borderId="93" fillId="4" fontId="2" numFmtId="0" xfId="0" applyAlignment="1" applyBorder="1" applyFill="1" applyFont="1">
      <alignment shrinkToFit="0" vertical="center" wrapText="1"/>
    </xf>
    <xf borderId="94" fillId="0" fontId="3" numFmtId="0" xfId="0" applyBorder="1" applyFont="1"/>
    <xf borderId="0" fillId="0" fontId="24" numFmtId="0" xfId="0" applyFont="1"/>
    <xf borderId="0" fillId="0" fontId="4" numFmtId="0" xfId="0" applyFont="1"/>
    <xf borderId="0" fillId="0" fontId="9" numFmtId="9" xfId="0" applyFont="1" applyNumberFormat="1"/>
    <xf borderId="0" fillId="0" fontId="25" numFmtId="0" xfId="0" applyFont="1"/>
    <xf borderId="0" fillId="0" fontId="26" numFmtId="0" xfId="0" applyAlignment="1" applyFont="1">
      <alignment vertical="center"/>
    </xf>
    <xf borderId="0" fillId="0" fontId="27" numFmtId="0" xfId="0" applyAlignment="1" applyFont="1">
      <alignment vertical="center"/>
    </xf>
    <xf borderId="18" fillId="2" fontId="7" numFmtId="0" xfId="0" applyAlignment="1" applyBorder="1" applyFill="1" applyFont="1">
      <alignment horizontal="left" shrinkToFit="0" vertical="top" wrapText="1"/>
    </xf>
    <xf borderId="95" fillId="2" fontId="7" numFmtId="0" xfId="0" applyAlignment="1" applyBorder="1" applyFill="1" applyFont="1">
      <alignment horizontal="left" shrinkToFit="0" vertical="top" wrapText="1"/>
    </xf>
    <xf borderId="33" fillId="2" fontId="7" numFmtId="0" xfId="0" applyAlignment="1" applyBorder="1" applyFill="1" applyFont="1">
      <alignment horizontal="left" shrinkToFit="0" vertical="top" wrapText="1"/>
    </xf>
    <xf borderId="33" fillId="2" fontId="7" numFmtId="0" xfId="0" applyAlignment="1" applyBorder="1" applyFill="1" applyFont="1">
      <alignment horizontal="left" shrinkToFit="0" vertical="center" wrapText="1"/>
    </xf>
    <xf borderId="18" fillId="0" fontId="2" numFmtId="0" xfId="0" applyAlignment="1" applyBorder="1" applyFont="1">
      <alignment horizontal="left" shrinkToFit="0" vertical="center" wrapText="1"/>
    </xf>
    <xf borderId="28" fillId="0" fontId="2" numFmtId="0" xfId="0" applyAlignment="1" applyBorder="1" applyFont="1">
      <alignment horizontal="left" shrinkToFit="0" vertical="center" wrapText="1"/>
    </xf>
    <xf borderId="33" fillId="0" fontId="2" numFmtId="0" xfId="0" applyAlignment="1" applyBorder="1" applyFont="1">
      <alignment horizontal="left" shrinkToFit="0" vertical="center" wrapText="1"/>
    </xf>
    <xf borderId="33" fillId="0" fontId="2" numFmtId="0" xfId="0" applyAlignment="1" applyBorder="1" applyFont="1">
      <alignment vertical="center"/>
    </xf>
    <xf borderId="28" fillId="0" fontId="2" numFmtId="0" xfId="0" applyAlignment="1" applyBorder="1" applyFont="1">
      <alignment shrinkToFit="0" vertical="center" wrapText="1"/>
    </xf>
    <xf borderId="33" fillId="0" fontId="2" numFmtId="0" xfId="0" applyAlignment="1" applyBorder="1" applyFont="1">
      <alignment shrinkToFit="0" vertical="center" wrapText="1"/>
    </xf>
    <xf borderId="95" fillId="2" fontId="7" numFmtId="0" xfId="0" applyAlignment="1" applyBorder="1" applyFill="1" applyFont="1">
      <alignment shrinkToFit="0" vertical="top" wrapText="1"/>
    </xf>
    <xf borderId="33" fillId="2" fontId="7" numFmtId="0" xfId="0" applyAlignment="1" applyBorder="1" applyFill="1" applyFont="1">
      <alignment shrinkToFit="0" vertical="top" wrapText="1"/>
    </xf>
    <xf borderId="28" fillId="0" fontId="2" numFmtId="0" xfId="0" applyAlignment="1" applyBorder="1" applyFont="1">
      <alignment shrinkToFit="0" vertical="top" wrapText="1"/>
    </xf>
    <xf borderId="33" fillId="0" fontId="2" numFmtId="0" xfId="0" applyAlignment="1" applyBorder="1" applyFont="1">
      <alignment shrinkToFit="0" vertical="top" wrapText="1"/>
    </xf>
    <xf borderId="95" fillId="2" fontId="7" numFmtId="0" xfId="0" applyAlignment="1" applyBorder="1" applyFill="1" applyFont="1">
      <alignment horizontal="center" shrinkToFit="0" vertical="center" wrapText="1"/>
    </xf>
    <xf borderId="96" fillId="2" fontId="7" numFmtId="0" xfId="0" applyAlignment="1" applyBorder="1" applyFill="1" applyFont="1">
      <alignment horizontal="center" shrinkToFit="0" vertical="center" wrapText="1"/>
    </xf>
    <xf borderId="33" fillId="0" fontId="2" numFmtId="0" xfId="0" applyAlignment="1" applyBorder="1" applyFont="1">
      <alignment horizontal="left" shrinkToFit="0" vertical="top" wrapText="1"/>
    </xf>
    <xf borderId="23" fillId="0" fontId="2" numFmtId="0" xfId="0" applyAlignment="1" applyBorder="1" applyFont="1">
      <alignment shrinkToFit="0" vertical="top" wrapText="1"/>
    </xf>
    <xf borderId="0" fillId="0" fontId="28" numFmtId="0" xfId="0" applyAlignment="1" applyFont="1">
      <alignment vertical="center"/>
    </xf>
    <xf borderId="18" fillId="0" fontId="2" numFmtId="0" xfId="0" applyAlignment="1" applyBorder="1" applyFont="1">
      <alignment vertical="center"/>
    </xf>
    <xf borderId="18" fillId="0" fontId="2" numFmtId="0" xfId="0" applyAlignment="1" applyBorder="1" applyFont="1">
      <alignment shrinkToFit="0" vertical="center" wrapText="1"/>
    </xf>
    <xf borderId="18" fillId="0" fontId="2" numFmtId="0" xfId="0" applyAlignment="1" applyBorder="1" applyFont="1">
      <alignment vertical="top"/>
    </xf>
    <xf borderId="18"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400050</xdr:colOff>
      <xdr:row>0</xdr:row>
      <xdr:rowOff>0</xdr:rowOff>
    </xdr:from>
    <xdr:ext cx="3019425" cy="1571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uong Nguyen Tran Bao" id="{060cfbc9-6fb3-46e5-a97d-13fd766625e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3" dT="2026-08-21T13:10:23.00" personId="{060cfbc9-6fb3-46e5-a97d-13fd766625ea}" id="{075c605b-6250-4314-bb96-0b0948185fb6}" done="0">
    <x18tc:text xml:space="preserve">mô tả KẾT QUẢ THỰC TẾ (deliverable):
- Là cái nhìn thấy được, “output” cụ thể khi nhân viên thực hiện công việc.
- Mang tính hành vi + sản phẩm rõ ràng, có thể kiểm tra/đánh giá được.
=&gt; Job output phải trả lời câu hỏi: “Nếu kỹ năng này tốt, thì trong công việc thực tế nhân viên tạo ra KẾT QUẢ gì?”</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learning-galaxy.fsoft.com.vn/skill-taxonomy" TargetMode="Externa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
    <col customWidth="1" min="2" max="26" width="8.86"/>
  </cols>
  <sheetData>
    <row r="1" ht="15.0" customHeight="1">
      <c r="A1" s="2"/>
      <c r="B1" s="5"/>
      <c r="C1" s="7"/>
      <c r="D1" s="7"/>
      <c r="E1" s="7"/>
      <c r="F1" s="7"/>
      <c r="G1" s="7"/>
      <c r="H1" s="7"/>
      <c r="I1" s="7"/>
      <c r="J1" s="7"/>
      <c r="K1" s="7"/>
      <c r="L1" s="7"/>
      <c r="M1" s="7"/>
      <c r="N1" s="7"/>
      <c r="O1" s="9"/>
      <c r="P1" s="2"/>
      <c r="Q1" s="2"/>
      <c r="R1" s="2"/>
      <c r="S1" s="2"/>
      <c r="T1" s="2"/>
      <c r="U1" s="2"/>
      <c r="V1" s="2"/>
      <c r="W1" s="2"/>
      <c r="X1" s="2"/>
      <c r="Y1" s="2"/>
      <c r="Z1" s="2"/>
    </row>
    <row r="2" ht="15.0" customHeight="1">
      <c r="A2" s="2"/>
      <c r="B2" s="10"/>
      <c r="C2" s="11"/>
      <c r="D2" s="11"/>
      <c r="E2" s="11"/>
      <c r="F2" s="11"/>
      <c r="G2" s="11"/>
      <c r="H2" s="11"/>
      <c r="I2" s="11"/>
      <c r="J2" s="11"/>
      <c r="K2" s="11"/>
      <c r="L2" s="11"/>
      <c r="M2" s="11"/>
      <c r="N2" s="11"/>
      <c r="O2" s="12"/>
      <c r="P2" s="2"/>
      <c r="Q2" s="2"/>
      <c r="R2" s="2"/>
      <c r="S2" s="2"/>
      <c r="T2" s="2"/>
      <c r="U2" s="2"/>
      <c r="V2" s="2"/>
      <c r="W2" s="2"/>
      <c r="X2" s="2"/>
      <c r="Y2" s="2"/>
      <c r="Z2" s="2"/>
    </row>
    <row r="3" ht="15.0" customHeight="1">
      <c r="A3" s="2"/>
      <c r="B3" s="10"/>
      <c r="C3" s="11"/>
      <c r="D3" s="11"/>
      <c r="E3" s="11"/>
      <c r="F3" s="11"/>
      <c r="G3" s="11"/>
      <c r="H3" s="11"/>
      <c r="I3" s="11"/>
      <c r="J3" s="11"/>
      <c r="K3" s="11"/>
      <c r="L3" s="11"/>
      <c r="M3" s="11"/>
      <c r="N3" s="11"/>
      <c r="O3" s="12"/>
      <c r="P3" s="2"/>
      <c r="Q3" s="2"/>
      <c r="R3" s="2"/>
      <c r="S3" s="2"/>
      <c r="T3" s="2"/>
      <c r="U3" s="2"/>
      <c r="V3" s="2"/>
      <c r="W3" s="2"/>
      <c r="X3" s="2"/>
      <c r="Y3" s="2"/>
      <c r="Z3" s="2"/>
    </row>
    <row r="4" ht="15.75" customHeight="1">
      <c r="A4" s="2"/>
      <c r="B4" s="10"/>
      <c r="C4" s="11"/>
      <c r="D4" s="11"/>
      <c r="E4" s="11"/>
      <c r="F4" s="11"/>
      <c r="G4" s="11"/>
      <c r="H4" s="11"/>
      <c r="I4" s="15"/>
      <c r="J4" s="11"/>
      <c r="K4" s="11"/>
      <c r="L4" s="11"/>
      <c r="M4" s="11"/>
      <c r="N4" s="11"/>
      <c r="O4" s="12"/>
      <c r="P4" s="2"/>
      <c r="Q4" s="2"/>
      <c r="R4" s="2"/>
      <c r="S4" s="2"/>
      <c r="T4" s="2"/>
      <c r="U4" s="2"/>
      <c r="V4" s="2"/>
      <c r="W4" s="2"/>
      <c r="X4" s="2"/>
      <c r="Y4" s="2"/>
      <c r="Z4" s="2"/>
    </row>
    <row r="5" ht="15.0" customHeight="1">
      <c r="A5" s="2"/>
      <c r="B5" s="10"/>
      <c r="C5" s="11"/>
      <c r="D5" s="11"/>
      <c r="E5" s="11"/>
      <c r="F5" s="11"/>
      <c r="G5" s="11"/>
      <c r="H5" s="11"/>
      <c r="I5" s="11"/>
      <c r="J5" s="11"/>
      <c r="K5" s="11"/>
      <c r="L5" s="11"/>
      <c r="M5" s="11"/>
      <c r="N5" s="11"/>
      <c r="O5" s="12"/>
      <c r="P5" s="2"/>
      <c r="Q5" s="2"/>
      <c r="R5" s="2"/>
      <c r="S5" s="2"/>
      <c r="T5" s="2"/>
      <c r="U5" s="2"/>
      <c r="V5" s="2"/>
      <c r="W5" s="2"/>
      <c r="X5" s="2"/>
      <c r="Y5" s="2"/>
      <c r="Z5" s="2"/>
    </row>
    <row r="6" ht="15.0" customHeight="1">
      <c r="A6" s="2"/>
      <c r="B6" s="24"/>
      <c r="C6" s="11"/>
      <c r="D6" s="11"/>
      <c r="E6" s="11"/>
      <c r="F6" s="11"/>
      <c r="G6" s="11"/>
      <c r="H6" s="11"/>
      <c r="I6" s="11"/>
      <c r="J6" s="11"/>
      <c r="K6" s="11"/>
      <c r="L6" s="11"/>
      <c r="M6" s="11"/>
      <c r="N6" s="11"/>
      <c r="O6" s="12"/>
      <c r="P6" s="2"/>
      <c r="Q6" s="2"/>
      <c r="R6" s="2"/>
      <c r="S6" s="2"/>
      <c r="T6" s="2"/>
      <c r="U6" s="2"/>
      <c r="V6" s="2"/>
      <c r="W6" s="2"/>
      <c r="X6" s="2"/>
      <c r="Y6" s="2"/>
      <c r="Z6" s="2"/>
    </row>
    <row r="7" ht="15.0" customHeight="1">
      <c r="A7" s="2"/>
      <c r="B7" s="24"/>
      <c r="C7" s="11"/>
      <c r="D7" s="11"/>
      <c r="E7" s="11"/>
      <c r="F7" s="11"/>
      <c r="G7" s="11"/>
      <c r="H7" s="11"/>
      <c r="I7" s="11"/>
      <c r="J7" s="11"/>
      <c r="K7" s="11"/>
      <c r="L7" s="11"/>
      <c r="M7" s="11"/>
      <c r="N7" s="11"/>
      <c r="O7" s="12"/>
      <c r="P7" s="2"/>
      <c r="Q7" s="2"/>
      <c r="R7" s="2"/>
      <c r="S7" s="2"/>
      <c r="T7" s="2"/>
      <c r="U7" s="2"/>
      <c r="V7" s="2"/>
      <c r="W7" s="2"/>
      <c r="X7" s="2"/>
      <c r="Y7" s="2"/>
      <c r="Z7" s="2"/>
    </row>
    <row r="8" ht="15.0" customHeight="1">
      <c r="A8" s="2"/>
      <c r="B8" s="24"/>
      <c r="C8" s="11"/>
      <c r="D8" s="11"/>
      <c r="E8" s="11"/>
      <c r="F8" s="11"/>
      <c r="G8" s="11"/>
      <c r="H8" s="11"/>
      <c r="I8" s="11"/>
      <c r="J8" s="11"/>
      <c r="K8" s="11"/>
      <c r="L8" s="11"/>
      <c r="M8" s="11"/>
      <c r="N8" s="11"/>
      <c r="O8" s="12"/>
      <c r="P8" s="2"/>
      <c r="Q8" s="2"/>
      <c r="R8" s="2"/>
      <c r="S8" s="2"/>
      <c r="T8" s="2"/>
      <c r="U8" s="2"/>
      <c r="V8" s="2"/>
      <c r="W8" s="2"/>
      <c r="X8" s="2"/>
      <c r="Y8" s="2"/>
      <c r="Z8" s="2"/>
    </row>
    <row r="9" ht="15.0" customHeight="1">
      <c r="A9" s="2"/>
      <c r="B9" s="24"/>
      <c r="C9" s="11"/>
      <c r="D9" s="11"/>
      <c r="E9" s="11"/>
      <c r="F9" s="11"/>
      <c r="G9" s="11"/>
      <c r="H9" s="11"/>
      <c r="I9" s="11"/>
      <c r="J9" s="11"/>
      <c r="K9" s="11"/>
      <c r="L9" s="11"/>
      <c r="M9" s="11"/>
      <c r="N9" s="11"/>
      <c r="O9" s="12"/>
      <c r="P9" s="2"/>
      <c r="Q9" s="2"/>
      <c r="R9" s="2"/>
      <c r="S9" s="2"/>
      <c r="T9" s="2"/>
      <c r="U9" s="2"/>
      <c r="V9" s="2"/>
      <c r="W9" s="2"/>
      <c r="X9" s="2"/>
      <c r="Y9" s="2"/>
      <c r="Z9" s="2"/>
    </row>
    <row r="10" ht="15.0" customHeight="1">
      <c r="A10" s="2"/>
      <c r="B10" s="24"/>
      <c r="C10" s="11"/>
      <c r="D10" s="11"/>
      <c r="E10" s="11"/>
      <c r="F10" s="11"/>
      <c r="G10" s="11"/>
      <c r="H10" s="11"/>
      <c r="I10" s="11"/>
      <c r="J10" s="11"/>
      <c r="K10" s="11"/>
      <c r="L10" s="11"/>
      <c r="M10" s="11"/>
      <c r="N10" s="11"/>
      <c r="O10" s="12"/>
      <c r="P10" s="2"/>
      <c r="Q10" s="2"/>
      <c r="R10" s="2"/>
      <c r="S10" s="2"/>
      <c r="T10" s="2"/>
      <c r="U10" s="2"/>
      <c r="V10" s="2"/>
      <c r="W10" s="2"/>
      <c r="X10" s="2"/>
      <c r="Y10" s="2"/>
      <c r="Z10" s="2"/>
    </row>
    <row r="11" ht="18.75" customHeight="1">
      <c r="A11" s="2"/>
      <c r="B11" s="43" t="s">
        <v>28</v>
      </c>
      <c r="C11" s="3"/>
      <c r="D11" s="3"/>
      <c r="E11" s="3"/>
      <c r="F11" s="3"/>
      <c r="G11" s="3"/>
      <c r="H11" s="3"/>
      <c r="I11" s="3"/>
      <c r="J11" s="3"/>
      <c r="K11" s="3"/>
      <c r="L11" s="3"/>
      <c r="M11" s="3"/>
      <c r="N11" s="3"/>
      <c r="O11" s="46"/>
      <c r="P11" s="2"/>
      <c r="Q11" s="2"/>
      <c r="R11" s="2"/>
      <c r="S11" s="2"/>
      <c r="T11" s="2"/>
      <c r="U11" s="2"/>
      <c r="V11" s="2"/>
      <c r="W11" s="2"/>
      <c r="X11" s="2"/>
      <c r="Y11" s="2"/>
      <c r="Z11" s="2"/>
    </row>
    <row r="12" ht="18.75" customHeight="1">
      <c r="A12" s="2"/>
      <c r="B12" s="51"/>
      <c r="C12" s="52"/>
      <c r="D12" s="52"/>
      <c r="E12" s="52"/>
      <c r="F12" s="54"/>
      <c r="G12" s="52"/>
      <c r="H12" s="52"/>
      <c r="I12" s="52"/>
      <c r="J12" s="52"/>
      <c r="K12" s="52"/>
      <c r="L12" s="52"/>
      <c r="M12" s="52"/>
      <c r="N12" s="52"/>
      <c r="O12" s="58"/>
      <c r="P12" s="2"/>
      <c r="Q12" s="2"/>
      <c r="R12" s="2"/>
      <c r="S12" s="2"/>
      <c r="T12" s="2"/>
      <c r="U12" s="2"/>
      <c r="V12" s="2"/>
      <c r="W12" s="2"/>
      <c r="X12" s="2"/>
      <c r="Y12" s="2"/>
      <c r="Z12" s="2"/>
    </row>
    <row r="13" ht="26.25" customHeight="1">
      <c r="A13" s="2"/>
      <c r="B13" s="61" t="s">
        <v>39</v>
      </c>
      <c r="C13" s="3"/>
      <c r="D13" s="3"/>
      <c r="E13" s="3"/>
      <c r="F13" s="3"/>
      <c r="G13" s="3"/>
      <c r="H13" s="3"/>
      <c r="I13" s="3"/>
      <c r="J13" s="3"/>
      <c r="K13" s="3"/>
      <c r="L13" s="3"/>
      <c r="M13" s="3"/>
      <c r="N13" s="3"/>
      <c r="O13" s="46"/>
      <c r="P13" s="2"/>
      <c r="Q13" s="2"/>
      <c r="R13" s="2"/>
      <c r="S13" s="2"/>
      <c r="T13" s="2"/>
      <c r="U13" s="2"/>
      <c r="V13" s="2"/>
      <c r="W13" s="2"/>
      <c r="X13" s="2"/>
      <c r="Y13" s="2"/>
      <c r="Z13" s="2"/>
    </row>
    <row r="14" ht="15.0" customHeight="1">
      <c r="A14" s="2"/>
      <c r="B14" s="24"/>
      <c r="C14" s="11"/>
      <c r="D14" s="11"/>
      <c r="E14" s="11"/>
      <c r="F14" s="11"/>
      <c r="G14" s="11"/>
      <c r="H14" s="11"/>
      <c r="I14" s="11"/>
      <c r="J14" s="11"/>
      <c r="K14" s="11"/>
      <c r="L14" s="11"/>
      <c r="M14" s="11"/>
      <c r="N14" s="11"/>
      <c r="O14" s="12"/>
      <c r="P14" s="2"/>
      <c r="Q14" s="2"/>
      <c r="R14" s="2"/>
      <c r="S14" s="2"/>
      <c r="T14" s="2"/>
      <c r="U14" s="2"/>
      <c r="V14" s="2"/>
      <c r="W14" s="2"/>
      <c r="X14" s="2"/>
      <c r="Y14" s="2"/>
      <c r="Z14" s="2"/>
    </row>
    <row r="15" ht="15.0" customHeight="1">
      <c r="A15" s="2"/>
      <c r="B15" s="24"/>
      <c r="C15" s="11"/>
      <c r="D15" s="11"/>
      <c r="E15" s="11"/>
      <c r="F15" s="11"/>
      <c r="G15" s="11"/>
      <c r="H15" s="11"/>
      <c r="I15" s="11"/>
      <c r="J15" s="11"/>
      <c r="K15" s="11"/>
      <c r="L15" s="11"/>
      <c r="M15" s="11"/>
      <c r="N15" s="11"/>
      <c r="O15" s="12"/>
      <c r="P15" s="2"/>
      <c r="Q15" s="2"/>
      <c r="R15" s="2"/>
      <c r="S15" s="2"/>
      <c r="T15" s="2"/>
      <c r="U15" s="2"/>
      <c r="V15" s="2"/>
      <c r="W15" s="2"/>
      <c r="X15" s="2"/>
      <c r="Y15" s="2"/>
      <c r="Z15" s="2"/>
    </row>
    <row r="16" ht="15.0" customHeight="1">
      <c r="A16" s="2"/>
      <c r="B16" s="24"/>
      <c r="C16" s="11"/>
      <c r="D16" s="11"/>
      <c r="E16" s="11"/>
      <c r="F16" s="11"/>
      <c r="G16" s="11"/>
      <c r="H16" s="11"/>
      <c r="I16" s="11"/>
      <c r="J16" s="11"/>
      <c r="K16" s="11"/>
      <c r="L16" s="11"/>
      <c r="M16" s="11"/>
      <c r="N16" s="11"/>
      <c r="O16" s="12"/>
      <c r="P16" s="2"/>
      <c r="Q16" s="2"/>
      <c r="R16" s="2"/>
      <c r="S16" s="2"/>
      <c r="T16" s="2"/>
      <c r="U16" s="2"/>
      <c r="V16" s="2"/>
      <c r="W16" s="2"/>
      <c r="X16" s="2"/>
      <c r="Y16" s="2"/>
      <c r="Z16" s="2"/>
    </row>
    <row r="17" ht="24.0" customHeight="1">
      <c r="A17" s="2"/>
      <c r="B17" s="24"/>
      <c r="C17" s="11"/>
      <c r="D17" s="11"/>
      <c r="E17" s="11"/>
      <c r="F17" s="70" t="s">
        <v>57</v>
      </c>
      <c r="G17" s="72"/>
      <c r="H17" s="73"/>
      <c r="I17" s="75"/>
      <c r="J17" s="72"/>
      <c r="K17" s="73"/>
      <c r="L17" s="11"/>
      <c r="M17" s="11"/>
      <c r="N17" s="11"/>
      <c r="O17" s="12"/>
      <c r="P17" s="2"/>
      <c r="Q17" s="2"/>
      <c r="R17" s="2"/>
      <c r="S17" s="2"/>
      <c r="T17" s="2"/>
      <c r="U17" s="2"/>
      <c r="V17" s="2"/>
      <c r="W17" s="2"/>
      <c r="X17" s="2"/>
      <c r="Y17" s="2"/>
      <c r="Z17" s="2"/>
    </row>
    <row r="18" ht="24.0" customHeight="1">
      <c r="A18" s="2"/>
      <c r="B18" s="24"/>
      <c r="C18" s="11"/>
      <c r="D18" s="11"/>
      <c r="E18" s="11"/>
      <c r="F18" s="77" t="s">
        <v>14</v>
      </c>
      <c r="G18" s="18"/>
      <c r="H18" s="22"/>
      <c r="I18" s="78" t="s">
        <v>69</v>
      </c>
      <c r="J18" s="18"/>
      <c r="K18" s="22"/>
      <c r="L18" s="11"/>
      <c r="M18" s="11"/>
      <c r="N18" s="11"/>
      <c r="O18" s="12"/>
      <c r="P18" s="2"/>
      <c r="Q18" s="2"/>
      <c r="R18" s="2"/>
      <c r="S18" s="2"/>
      <c r="T18" s="2"/>
      <c r="U18" s="2"/>
      <c r="V18" s="2"/>
      <c r="W18" s="2"/>
      <c r="X18" s="2"/>
      <c r="Y18" s="2"/>
      <c r="Z18" s="2"/>
    </row>
    <row r="19" ht="24.0" customHeight="1">
      <c r="A19" s="2"/>
      <c r="B19" s="24"/>
      <c r="C19" s="11"/>
      <c r="D19" s="11"/>
      <c r="E19" s="11"/>
      <c r="F19" s="82" t="s">
        <v>74</v>
      </c>
      <c r="G19" s="83"/>
      <c r="H19" s="84"/>
      <c r="I19" s="85"/>
      <c r="J19" s="83"/>
      <c r="K19" s="84"/>
      <c r="L19" s="11"/>
      <c r="M19" s="11"/>
      <c r="N19" s="11"/>
      <c r="O19" s="12"/>
      <c r="P19" s="2"/>
      <c r="Q19" s="2"/>
      <c r="R19" s="2"/>
      <c r="S19" s="2"/>
      <c r="T19" s="2"/>
      <c r="U19" s="2"/>
      <c r="V19" s="2"/>
      <c r="W19" s="2"/>
      <c r="X19" s="2"/>
      <c r="Y19" s="2"/>
      <c r="Z19" s="2"/>
    </row>
    <row r="20" ht="15.0" customHeight="1">
      <c r="A20" s="2"/>
      <c r="B20" s="24"/>
      <c r="C20" s="11"/>
      <c r="D20" s="11"/>
      <c r="E20" s="11"/>
      <c r="F20" s="11"/>
      <c r="G20" s="11"/>
      <c r="H20" s="11"/>
      <c r="I20" s="11"/>
      <c r="J20" s="11"/>
      <c r="K20" s="11"/>
      <c r="L20" s="11"/>
      <c r="M20" s="11"/>
      <c r="N20" s="11"/>
      <c r="O20" s="12"/>
      <c r="P20" s="2"/>
      <c r="Q20" s="2"/>
      <c r="R20" s="2"/>
      <c r="S20" s="2"/>
      <c r="T20" s="2"/>
      <c r="U20" s="2"/>
      <c r="V20" s="2"/>
      <c r="W20" s="2"/>
      <c r="X20" s="2"/>
      <c r="Y20" s="2"/>
      <c r="Z20" s="2"/>
    </row>
    <row r="21" ht="15.0" customHeight="1">
      <c r="A21" s="2"/>
      <c r="B21" s="24"/>
      <c r="C21" s="11"/>
      <c r="D21" s="11"/>
      <c r="E21" s="11"/>
      <c r="F21" s="11"/>
      <c r="G21" s="11"/>
      <c r="H21" s="11"/>
      <c r="I21" s="11"/>
      <c r="J21" s="11"/>
      <c r="K21" s="11"/>
      <c r="L21" s="11"/>
      <c r="M21" s="11"/>
      <c r="N21" s="11"/>
      <c r="O21" s="12"/>
      <c r="P21" s="2"/>
      <c r="Q21" s="2"/>
      <c r="R21" s="2"/>
      <c r="S21" s="2"/>
      <c r="T21" s="2"/>
      <c r="U21" s="2"/>
      <c r="V21" s="2"/>
      <c r="W21" s="2"/>
      <c r="X21" s="2"/>
      <c r="Y21" s="2"/>
      <c r="Z21" s="2"/>
    </row>
    <row r="22" ht="15.0" customHeight="1">
      <c r="A22" s="2"/>
      <c r="B22" s="24"/>
      <c r="C22" s="11"/>
      <c r="D22" s="11"/>
      <c r="E22" s="11"/>
      <c r="F22" s="11"/>
      <c r="G22" s="11"/>
      <c r="H22" s="11"/>
      <c r="I22" s="11"/>
      <c r="J22" s="11"/>
      <c r="K22" s="11"/>
      <c r="L22" s="11"/>
      <c r="M22" s="11"/>
      <c r="N22" s="11"/>
      <c r="O22" s="12"/>
      <c r="P22" s="2"/>
      <c r="Q22" s="2"/>
      <c r="R22" s="2"/>
      <c r="S22" s="2"/>
      <c r="T22" s="2"/>
      <c r="U22" s="2"/>
      <c r="V22" s="2"/>
      <c r="W22" s="2"/>
      <c r="X22" s="2"/>
      <c r="Y22" s="2"/>
      <c r="Z22" s="2"/>
    </row>
    <row r="23" ht="15.0" customHeight="1">
      <c r="A23" s="2"/>
      <c r="B23" s="24"/>
      <c r="C23" s="11"/>
      <c r="D23" s="11"/>
      <c r="E23" s="11"/>
      <c r="F23" s="11"/>
      <c r="G23" s="11"/>
      <c r="H23" s="11"/>
      <c r="I23" s="11"/>
      <c r="J23" s="11"/>
      <c r="K23" s="11"/>
      <c r="L23" s="11"/>
      <c r="M23" s="11"/>
      <c r="N23" s="11"/>
      <c r="O23" s="12"/>
      <c r="P23" s="2"/>
      <c r="Q23" s="2"/>
      <c r="R23" s="2"/>
      <c r="S23" s="2"/>
      <c r="T23" s="2"/>
      <c r="U23" s="2"/>
      <c r="V23" s="2"/>
      <c r="W23" s="2"/>
      <c r="X23" s="2"/>
      <c r="Y23" s="2"/>
      <c r="Z23" s="2"/>
    </row>
    <row r="24" ht="15.0" customHeight="1">
      <c r="A24" s="2"/>
      <c r="B24" s="24"/>
      <c r="C24" s="11"/>
      <c r="D24" s="11"/>
      <c r="E24" s="11"/>
      <c r="F24" s="11"/>
      <c r="G24" s="11"/>
      <c r="H24" s="11"/>
      <c r="I24" s="11"/>
      <c r="J24" s="11"/>
      <c r="K24" s="11"/>
      <c r="L24" s="11"/>
      <c r="M24" s="11"/>
      <c r="N24" s="11"/>
      <c r="O24" s="12"/>
      <c r="P24" s="2"/>
      <c r="Q24" s="2"/>
      <c r="R24" s="2"/>
      <c r="S24" s="2"/>
      <c r="T24" s="2"/>
      <c r="U24" s="2"/>
      <c r="V24" s="2"/>
      <c r="W24" s="2"/>
      <c r="X24" s="2"/>
      <c r="Y24" s="2"/>
      <c r="Z24" s="2"/>
    </row>
    <row r="25" ht="15.0" customHeight="1">
      <c r="A25" s="2"/>
      <c r="B25" s="24"/>
      <c r="C25" s="11"/>
      <c r="D25" s="11"/>
      <c r="E25" s="11"/>
      <c r="F25" s="11"/>
      <c r="G25" s="11"/>
      <c r="H25" s="11"/>
      <c r="I25" s="11"/>
      <c r="J25" s="11"/>
      <c r="K25" s="11"/>
      <c r="L25" s="11"/>
      <c r="M25" s="11"/>
      <c r="N25" s="11"/>
      <c r="O25" s="12"/>
      <c r="P25" s="2"/>
      <c r="Q25" s="2"/>
      <c r="R25" s="2"/>
      <c r="S25" s="2"/>
      <c r="T25" s="2"/>
      <c r="U25" s="2"/>
      <c r="V25" s="2"/>
      <c r="W25" s="2"/>
      <c r="X25" s="2"/>
      <c r="Y25" s="2"/>
      <c r="Z25" s="2"/>
    </row>
    <row r="26" ht="15.0" customHeight="1">
      <c r="A26" s="2"/>
      <c r="B26" s="24"/>
      <c r="C26" s="11"/>
      <c r="D26" s="11"/>
      <c r="E26" s="11"/>
      <c r="F26" s="11"/>
      <c r="G26" s="11"/>
      <c r="H26" s="11"/>
      <c r="I26" s="11"/>
      <c r="J26" s="11"/>
      <c r="K26" s="11"/>
      <c r="L26" s="11"/>
      <c r="M26" s="11"/>
      <c r="N26" s="11"/>
      <c r="O26" s="12"/>
      <c r="P26" s="2"/>
      <c r="Q26" s="2"/>
      <c r="R26" s="2"/>
      <c r="S26" s="2"/>
      <c r="T26" s="2"/>
      <c r="U26" s="2"/>
      <c r="V26" s="2"/>
      <c r="W26" s="2"/>
      <c r="X26" s="2"/>
      <c r="Y26" s="2"/>
      <c r="Z26" s="2"/>
    </row>
    <row r="27" ht="15.0" customHeight="1">
      <c r="A27" s="2"/>
      <c r="B27" s="96"/>
      <c r="C27" s="98"/>
      <c r="D27" s="98"/>
      <c r="E27" s="98"/>
      <c r="F27" s="98"/>
      <c r="G27" s="98"/>
      <c r="H27" s="98"/>
      <c r="I27" s="98"/>
      <c r="J27" s="98"/>
      <c r="K27" s="98"/>
      <c r="L27" s="98"/>
      <c r="M27" s="98"/>
      <c r="N27" s="98"/>
      <c r="O27" s="100"/>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B11:O11"/>
    <mergeCell ref="B13:O13"/>
    <mergeCell ref="F17:H17"/>
    <mergeCell ref="I17:K17"/>
    <mergeCell ref="F18:H18"/>
    <mergeCell ref="I18:K18"/>
    <mergeCell ref="F19:H19"/>
    <mergeCell ref="I19:K19"/>
  </mergeCells>
  <printOptions/>
  <pageMargins bottom="0.75" footer="0.0" header="0.0" left="0.2" right="0.2" top="0.75"/>
  <pageSetup fitToHeight="0" orientation="portrait"/>
  <headerFooter>
    <oddHeader>&amp;L&amp;F</oddHeader>
    <oddFooter>&amp;L26e-BM/HR/HDCV/FSOFT&amp;CInternal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86"/>
    <col customWidth="1" min="2" max="2" width="35.0"/>
    <col customWidth="1" min="3" max="3" width="21.14"/>
    <col customWidth="1" min="4" max="4" width="70.29"/>
    <col customWidth="1" min="5" max="5" width="17.86"/>
    <col customWidth="1" min="6" max="6" width="43.14"/>
    <col customWidth="1" min="7" max="26" width="9.14"/>
  </cols>
  <sheetData>
    <row r="1" ht="29.25" customHeight="1">
      <c r="A1" s="1" t="s">
        <v>0</v>
      </c>
      <c r="B1" s="3"/>
      <c r="C1" s="3"/>
      <c r="D1" s="3"/>
      <c r="E1" s="4"/>
      <c r="F1" s="6"/>
      <c r="G1" s="6"/>
      <c r="H1" s="6"/>
      <c r="I1" s="6"/>
      <c r="J1" s="6"/>
      <c r="K1" s="6"/>
      <c r="L1" s="6"/>
      <c r="M1" s="6"/>
      <c r="N1" s="6"/>
      <c r="O1" s="6"/>
      <c r="P1" s="6"/>
      <c r="Q1" s="6"/>
      <c r="R1" s="6"/>
      <c r="S1" s="6"/>
      <c r="T1" s="6"/>
      <c r="U1" s="6"/>
      <c r="V1" s="6"/>
      <c r="W1" s="6"/>
      <c r="X1" s="6"/>
      <c r="Y1" s="6"/>
      <c r="Z1" s="6"/>
    </row>
    <row r="2" ht="12.75" customHeight="1">
      <c r="A2" s="8" t="s">
        <v>1</v>
      </c>
      <c r="B2" s="6"/>
      <c r="C2" s="6"/>
      <c r="D2" s="6"/>
      <c r="E2" s="6"/>
      <c r="F2" s="6"/>
      <c r="G2" s="6"/>
      <c r="H2" s="6"/>
      <c r="I2" s="6"/>
      <c r="J2" s="6"/>
      <c r="K2" s="6"/>
      <c r="L2" s="6"/>
      <c r="M2" s="6"/>
      <c r="N2" s="6"/>
      <c r="O2" s="6"/>
      <c r="P2" s="6"/>
      <c r="Q2" s="6"/>
      <c r="R2" s="6"/>
      <c r="S2" s="6"/>
      <c r="T2" s="6"/>
      <c r="U2" s="6"/>
      <c r="V2" s="6"/>
      <c r="W2" s="6"/>
      <c r="X2" s="6"/>
      <c r="Y2" s="6"/>
      <c r="Z2" s="6"/>
    </row>
    <row r="3" ht="12.75" customHeight="1">
      <c r="A3" s="8" t="s">
        <v>2</v>
      </c>
      <c r="B3" s="6"/>
      <c r="C3" s="6"/>
      <c r="D3" s="6"/>
      <c r="E3" s="6"/>
      <c r="F3" s="6"/>
      <c r="G3" s="6"/>
      <c r="H3" s="6"/>
      <c r="I3" s="6"/>
      <c r="J3" s="6"/>
      <c r="K3" s="6"/>
      <c r="L3" s="6"/>
      <c r="M3" s="6"/>
      <c r="N3" s="6"/>
      <c r="O3" s="6"/>
      <c r="P3" s="6"/>
      <c r="Q3" s="6"/>
      <c r="R3" s="6"/>
      <c r="S3" s="6"/>
      <c r="T3" s="6"/>
      <c r="U3" s="6"/>
      <c r="V3" s="6"/>
      <c r="W3" s="6"/>
      <c r="X3" s="6"/>
      <c r="Y3" s="6"/>
      <c r="Z3" s="6"/>
    </row>
    <row r="4" ht="12.75" customHeight="1">
      <c r="A4" s="8"/>
      <c r="B4" s="6"/>
      <c r="C4" s="6"/>
      <c r="D4" s="6"/>
      <c r="E4" s="6"/>
      <c r="F4" s="6"/>
      <c r="G4" s="6"/>
      <c r="H4" s="6"/>
      <c r="I4" s="6"/>
      <c r="J4" s="6"/>
      <c r="K4" s="6"/>
      <c r="L4" s="6"/>
      <c r="M4" s="6"/>
      <c r="N4" s="6"/>
      <c r="O4" s="6"/>
      <c r="P4" s="6"/>
      <c r="Q4" s="6"/>
      <c r="R4" s="6"/>
      <c r="S4" s="6"/>
      <c r="T4" s="6"/>
      <c r="U4" s="6"/>
      <c r="V4" s="6"/>
      <c r="W4" s="6"/>
      <c r="X4" s="6"/>
      <c r="Y4" s="6"/>
      <c r="Z4" s="6"/>
    </row>
    <row r="5" ht="19.5" customHeight="1">
      <c r="A5" s="13">
        <v>1.0</v>
      </c>
      <c r="B5" s="14" t="s">
        <v>3</v>
      </c>
      <c r="C5" s="17" t="s">
        <v>4</v>
      </c>
      <c r="D5" s="19"/>
      <c r="E5" s="19"/>
      <c r="F5" s="20"/>
      <c r="G5" s="21"/>
      <c r="H5" s="6"/>
      <c r="I5" s="6"/>
      <c r="J5" s="6"/>
      <c r="K5" s="6"/>
      <c r="L5" s="6"/>
      <c r="M5" s="6"/>
      <c r="N5" s="6"/>
      <c r="O5" s="6"/>
      <c r="P5" s="6"/>
      <c r="Q5" s="6"/>
      <c r="R5" s="6"/>
      <c r="S5" s="6"/>
      <c r="T5" s="6"/>
      <c r="U5" s="6"/>
      <c r="V5" s="6"/>
      <c r="W5" s="6"/>
      <c r="X5" s="6"/>
      <c r="Y5" s="6"/>
      <c r="Z5" s="6"/>
    </row>
    <row r="6" ht="19.5" customHeight="1">
      <c r="A6" s="23">
        <v>2.0</v>
      </c>
      <c r="B6" s="26" t="s">
        <v>6</v>
      </c>
      <c r="C6" s="28" t="s">
        <v>8</v>
      </c>
      <c r="D6" s="29"/>
      <c r="E6" s="29"/>
      <c r="F6" s="31"/>
      <c r="G6" s="21"/>
      <c r="H6" s="6"/>
      <c r="I6" s="6"/>
      <c r="J6" s="6"/>
      <c r="K6" s="6"/>
      <c r="L6" s="6"/>
      <c r="M6" s="6"/>
      <c r="N6" s="6"/>
      <c r="O6" s="6"/>
      <c r="P6" s="6"/>
      <c r="Q6" s="6"/>
      <c r="R6" s="6"/>
      <c r="S6" s="6"/>
      <c r="T6" s="6"/>
      <c r="U6" s="6"/>
      <c r="V6" s="6"/>
      <c r="W6" s="6"/>
      <c r="X6" s="6"/>
      <c r="Y6" s="6"/>
      <c r="Z6" s="6"/>
    </row>
    <row r="7" ht="19.5" customHeight="1">
      <c r="A7" s="23">
        <v>3.0</v>
      </c>
      <c r="B7" s="26" t="s">
        <v>14</v>
      </c>
      <c r="C7" s="34" t="s">
        <v>15</v>
      </c>
      <c r="D7" s="29"/>
      <c r="E7" s="29"/>
      <c r="F7" s="31"/>
      <c r="G7" s="21"/>
      <c r="H7" s="6"/>
      <c r="I7" s="6"/>
      <c r="J7" s="6"/>
      <c r="K7" s="6"/>
      <c r="L7" s="6"/>
      <c r="M7" s="6"/>
      <c r="N7" s="6"/>
      <c r="O7" s="6"/>
      <c r="P7" s="6"/>
      <c r="Q7" s="6"/>
      <c r="R7" s="6"/>
      <c r="S7" s="6"/>
      <c r="T7" s="6"/>
      <c r="U7" s="6"/>
      <c r="V7" s="6"/>
      <c r="W7" s="6"/>
      <c r="X7" s="6"/>
      <c r="Y7" s="6"/>
      <c r="Z7" s="6"/>
    </row>
    <row r="8" ht="19.5" customHeight="1">
      <c r="A8" s="23">
        <v>4.0</v>
      </c>
      <c r="B8" s="26" t="s">
        <v>21</v>
      </c>
      <c r="C8" s="37" t="s">
        <v>23</v>
      </c>
      <c r="D8" s="29"/>
      <c r="E8" s="29"/>
      <c r="F8" s="31"/>
      <c r="G8" s="21"/>
      <c r="H8" s="6"/>
      <c r="I8" s="6"/>
      <c r="J8" s="6"/>
      <c r="K8" s="6"/>
      <c r="L8" s="6"/>
      <c r="M8" s="6"/>
      <c r="N8" s="6"/>
      <c r="O8" s="6"/>
      <c r="P8" s="6"/>
      <c r="Q8" s="6"/>
      <c r="R8" s="6"/>
      <c r="S8" s="6"/>
      <c r="T8" s="6"/>
      <c r="U8" s="6"/>
      <c r="V8" s="6"/>
      <c r="W8" s="6"/>
      <c r="X8" s="6"/>
      <c r="Y8" s="6"/>
      <c r="Z8" s="6"/>
    </row>
    <row r="9" ht="19.5" customHeight="1">
      <c r="A9" s="23">
        <v>5.0</v>
      </c>
      <c r="B9" s="26" t="s">
        <v>26</v>
      </c>
      <c r="C9" s="41" t="s">
        <v>27</v>
      </c>
      <c r="D9" s="29"/>
      <c r="E9" s="29"/>
      <c r="F9" s="31"/>
      <c r="G9" s="21"/>
      <c r="H9" s="6"/>
      <c r="I9" s="6"/>
      <c r="J9" s="6"/>
      <c r="K9" s="6"/>
      <c r="L9" s="6"/>
      <c r="M9" s="6"/>
      <c r="N9" s="6"/>
      <c r="O9" s="6"/>
      <c r="P9" s="6"/>
      <c r="Q9" s="6"/>
      <c r="R9" s="6"/>
      <c r="S9" s="6"/>
      <c r="T9" s="6"/>
      <c r="U9" s="6"/>
      <c r="V9" s="6"/>
      <c r="W9" s="6"/>
      <c r="X9" s="6"/>
      <c r="Y9" s="6"/>
      <c r="Z9" s="6"/>
    </row>
    <row r="10" ht="19.5" customHeight="1">
      <c r="A10" s="23">
        <v>6.0</v>
      </c>
      <c r="B10" s="26" t="s">
        <v>31</v>
      </c>
      <c r="C10" s="48" t="s">
        <v>32</v>
      </c>
      <c r="D10" s="29"/>
      <c r="E10" s="29"/>
      <c r="F10" s="31"/>
      <c r="G10" s="6"/>
      <c r="H10" s="6"/>
      <c r="I10" s="6"/>
      <c r="J10" s="6"/>
      <c r="K10" s="6"/>
      <c r="L10" s="6"/>
      <c r="M10" s="6"/>
      <c r="N10" s="6"/>
      <c r="O10" s="6"/>
      <c r="P10" s="6"/>
      <c r="Q10" s="6"/>
      <c r="R10" s="6"/>
      <c r="S10" s="6"/>
      <c r="T10" s="6"/>
      <c r="U10" s="6"/>
      <c r="V10" s="6"/>
      <c r="W10" s="6"/>
      <c r="X10" s="6"/>
      <c r="Y10" s="6"/>
      <c r="Z10" s="6"/>
    </row>
    <row r="11" ht="42.75" customHeight="1">
      <c r="A11" s="57">
        <v>7.0</v>
      </c>
      <c r="B11" s="59" t="s">
        <v>37</v>
      </c>
      <c r="C11" s="62" t="s">
        <v>40</v>
      </c>
      <c r="D11" s="29"/>
      <c r="E11" s="29"/>
      <c r="F11" s="31"/>
      <c r="G11" s="21"/>
      <c r="H11" s="6"/>
      <c r="I11" s="6"/>
      <c r="J11" s="6"/>
      <c r="K11" s="6"/>
      <c r="L11" s="6"/>
      <c r="M11" s="6"/>
      <c r="N11" s="6"/>
      <c r="O11" s="6"/>
      <c r="P11" s="6"/>
      <c r="Q11" s="6"/>
      <c r="R11" s="6"/>
      <c r="S11" s="6"/>
      <c r="T11" s="6"/>
      <c r="U11" s="6"/>
      <c r="V11" s="6"/>
      <c r="W11" s="6"/>
      <c r="X11" s="6"/>
      <c r="Y11" s="6"/>
      <c r="Z11" s="6"/>
    </row>
    <row r="12" ht="24.75" customHeight="1">
      <c r="A12" s="65"/>
      <c r="B12" s="66"/>
      <c r="C12" s="67"/>
      <c r="D12" s="68"/>
      <c r="E12" s="68"/>
      <c r="F12" s="68"/>
      <c r="G12" s="21"/>
      <c r="H12" s="6"/>
      <c r="I12" s="6"/>
      <c r="J12" s="6"/>
      <c r="K12" s="6"/>
      <c r="L12" s="6"/>
      <c r="M12" s="6"/>
      <c r="N12" s="6"/>
      <c r="O12" s="6"/>
      <c r="P12" s="6"/>
      <c r="Q12" s="6"/>
      <c r="R12" s="6"/>
      <c r="S12" s="6"/>
      <c r="T12" s="6"/>
      <c r="U12" s="6"/>
      <c r="V12" s="6"/>
      <c r="W12" s="6"/>
      <c r="X12" s="6"/>
      <c r="Y12" s="6"/>
      <c r="Z12" s="6"/>
    </row>
    <row r="13" ht="48.0" customHeight="1">
      <c r="A13" s="65"/>
      <c r="B13" s="66"/>
      <c r="C13" s="79" t="s">
        <v>55</v>
      </c>
      <c r="D13" s="80" t="s">
        <v>71</v>
      </c>
      <c r="E13" s="80" t="s">
        <v>72</v>
      </c>
      <c r="F13" s="81" t="s">
        <v>75</v>
      </c>
      <c r="G13" s="21"/>
      <c r="H13" s="6"/>
      <c r="I13" s="6"/>
      <c r="J13" s="6"/>
      <c r="K13" s="6"/>
      <c r="L13" s="6"/>
      <c r="M13" s="6"/>
      <c r="N13" s="6"/>
      <c r="O13" s="6"/>
      <c r="P13" s="6"/>
      <c r="Q13" s="6"/>
      <c r="R13" s="6"/>
      <c r="S13" s="6"/>
      <c r="T13" s="6"/>
      <c r="U13" s="6"/>
      <c r="V13" s="6"/>
      <c r="W13" s="6"/>
      <c r="X13" s="6"/>
      <c r="Y13" s="6"/>
      <c r="Z13" s="6"/>
    </row>
    <row r="14" ht="191.25" customHeight="1">
      <c r="A14" s="65"/>
      <c r="B14" s="66"/>
      <c r="C14" s="86" t="s">
        <v>77</v>
      </c>
      <c r="D14" s="87" t="s">
        <v>78</v>
      </c>
      <c r="E14" s="88" t="s">
        <v>79</v>
      </c>
      <c r="F14" s="89" t="s">
        <v>80</v>
      </c>
      <c r="G14" s="21"/>
      <c r="H14" s="6"/>
      <c r="I14" s="6"/>
      <c r="J14" s="6"/>
      <c r="K14" s="6"/>
      <c r="L14" s="6"/>
      <c r="M14" s="6"/>
      <c r="N14" s="6"/>
      <c r="O14" s="6"/>
      <c r="P14" s="6"/>
      <c r="Q14" s="6"/>
      <c r="R14" s="6"/>
      <c r="S14" s="6"/>
      <c r="T14" s="6"/>
      <c r="U14" s="6"/>
      <c r="V14" s="6"/>
      <c r="W14" s="6"/>
      <c r="X14" s="6"/>
      <c r="Y14" s="6"/>
      <c r="Z14" s="6"/>
    </row>
    <row r="15" ht="165.75" customHeight="1">
      <c r="A15" s="65"/>
      <c r="B15" s="66"/>
      <c r="C15" s="90" t="s">
        <v>86</v>
      </c>
      <c r="D15" s="87" t="s">
        <v>78</v>
      </c>
      <c r="E15" s="88" t="s">
        <v>79</v>
      </c>
      <c r="F15" s="92" t="s">
        <v>88</v>
      </c>
      <c r="G15" s="6"/>
      <c r="H15" s="6"/>
      <c r="I15" s="6"/>
      <c r="J15" s="6"/>
      <c r="K15" s="6"/>
      <c r="L15" s="6"/>
      <c r="M15" s="6"/>
      <c r="N15" s="6"/>
      <c r="O15" s="6"/>
      <c r="P15" s="6"/>
      <c r="Q15" s="6"/>
      <c r="R15" s="6"/>
      <c r="S15" s="6"/>
      <c r="T15" s="6"/>
      <c r="U15" s="6"/>
      <c r="V15" s="6"/>
      <c r="W15" s="6"/>
      <c r="X15" s="6"/>
      <c r="Y15" s="6"/>
      <c r="Z15" s="6"/>
    </row>
    <row r="16" ht="165.75" customHeight="1">
      <c r="A16" s="65"/>
      <c r="B16" s="66"/>
      <c r="C16" s="90" t="s">
        <v>92</v>
      </c>
      <c r="D16" s="95" t="s">
        <v>93</v>
      </c>
      <c r="E16" s="97" t="s">
        <v>96</v>
      </c>
      <c r="F16" s="99" t="s">
        <v>103</v>
      </c>
      <c r="G16" s="101"/>
      <c r="H16" s="6"/>
      <c r="I16" s="6"/>
      <c r="J16" s="6"/>
      <c r="K16" s="6"/>
      <c r="L16" s="6"/>
      <c r="M16" s="6"/>
      <c r="N16" s="6"/>
      <c r="O16" s="6"/>
      <c r="P16" s="6"/>
      <c r="Q16" s="6"/>
      <c r="R16" s="6"/>
      <c r="S16" s="6"/>
      <c r="T16" s="6"/>
      <c r="U16" s="6"/>
      <c r="V16" s="6"/>
      <c r="W16" s="6"/>
      <c r="X16" s="6"/>
      <c r="Y16" s="6"/>
      <c r="Z16" s="6"/>
    </row>
    <row r="17" ht="12.75" customHeight="1">
      <c r="A17" s="65"/>
      <c r="B17" s="66"/>
      <c r="C17" s="102"/>
      <c r="D17" s="103"/>
      <c r="E17" s="102"/>
      <c r="F17" s="104"/>
      <c r="G17" s="101"/>
      <c r="H17" s="6"/>
      <c r="I17" s="6"/>
      <c r="J17" s="6"/>
      <c r="K17" s="6"/>
      <c r="L17" s="6"/>
      <c r="M17" s="6"/>
      <c r="N17" s="6"/>
      <c r="O17" s="6"/>
      <c r="P17" s="6"/>
      <c r="Q17" s="6"/>
      <c r="R17" s="6"/>
      <c r="S17" s="6"/>
      <c r="T17" s="6"/>
      <c r="U17" s="6"/>
      <c r="V17" s="6"/>
      <c r="W17" s="6"/>
      <c r="X17" s="6"/>
      <c r="Y17" s="6"/>
      <c r="Z17" s="6"/>
    </row>
    <row r="18" ht="12.75" customHeight="1">
      <c r="A18" s="65"/>
      <c r="B18" s="66"/>
      <c r="C18" s="102"/>
      <c r="D18" s="103"/>
      <c r="E18" s="105"/>
      <c r="F18" s="106"/>
      <c r="G18" s="101"/>
      <c r="H18" s="6"/>
      <c r="I18" s="6"/>
      <c r="J18" s="6"/>
      <c r="K18" s="6"/>
      <c r="L18" s="6"/>
      <c r="M18" s="6"/>
      <c r="N18" s="6"/>
      <c r="O18" s="6"/>
      <c r="P18" s="6"/>
      <c r="Q18" s="6"/>
      <c r="R18" s="6"/>
      <c r="S18" s="6"/>
      <c r="T18" s="6"/>
      <c r="U18" s="6"/>
      <c r="V18" s="6"/>
      <c r="W18" s="6"/>
      <c r="X18" s="6"/>
      <c r="Y18" s="6"/>
      <c r="Z18" s="6"/>
    </row>
    <row r="19" ht="52.5" customHeight="1">
      <c r="A19" s="65"/>
      <c r="B19" s="66"/>
      <c r="C19" s="80" t="s">
        <v>111</v>
      </c>
      <c r="D19" s="80" t="s">
        <v>112</v>
      </c>
      <c r="E19" s="80" t="s">
        <v>114</v>
      </c>
      <c r="F19" s="107" t="s">
        <v>115</v>
      </c>
      <c r="G19" s="6"/>
      <c r="H19" s="6"/>
      <c r="I19" s="6"/>
      <c r="J19" s="6"/>
      <c r="K19" s="6"/>
      <c r="L19" s="6"/>
      <c r="M19" s="6"/>
      <c r="N19" s="6"/>
      <c r="O19" s="6"/>
      <c r="P19" s="6"/>
      <c r="Q19" s="6"/>
      <c r="R19" s="6"/>
      <c r="S19" s="6"/>
      <c r="T19" s="6"/>
      <c r="U19" s="6"/>
      <c r="V19" s="6"/>
      <c r="W19" s="6"/>
      <c r="X19" s="6"/>
      <c r="Y19" s="6"/>
      <c r="Z19" s="6"/>
    </row>
    <row r="20" ht="51.0" customHeight="1">
      <c r="A20" s="65"/>
      <c r="B20" s="66"/>
      <c r="C20" s="108" t="s">
        <v>25</v>
      </c>
      <c r="D20" s="109" t="s">
        <v>121</v>
      </c>
      <c r="E20" s="110" t="s">
        <v>123</v>
      </c>
      <c r="F20" s="111" t="s">
        <v>124</v>
      </c>
      <c r="G20" s="6"/>
      <c r="H20" s="6"/>
      <c r="I20" s="6"/>
      <c r="J20" s="6"/>
      <c r="K20" s="6"/>
      <c r="L20" s="6"/>
      <c r="M20" s="6"/>
      <c r="N20" s="6"/>
      <c r="O20" s="6"/>
      <c r="P20" s="6"/>
      <c r="Q20" s="6"/>
      <c r="R20" s="6"/>
      <c r="S20" s="6"/>
      <c r="T20" s="6"/>
      <c r="U20" s="6"/>
      <c r="V20" s="6"/>
      <c r="W20" s="6"/>
      <c r="X20" s="6"/>
      <c r="Y20" s="6"/>
      <c r="Z20" s="6"/>
    </row>
    <row r="21" ht="25.5" customHeight="1">
      <c r="A21" s="65"/>
      <c r="B21" s="66"/>
      <c r="C21" s="108" t="s">
        <v>63</v>
      </c>
      <c r="D21" s="109" t="s">
        <v>126</v>
      </c>
      <c r="E21" s="110" t="s">
        <v>127</v>
      </c>
      <c r="F21" s="111" t="s">
        <v>124</v>
      </c>
      <c r="G21" s="6"/>
      <c r="H21" s="6"/>
      <c r="I21" s="6"/>
      <c r="J21" s="6"/>
      <c r="K21" s="6"/>
      <c r="L21" s="6"/>
      <c r="M21" s="6"/>
      <c r="N21" s="6"/>
      <c r="O21" s="6"/>
      <c r="P21" s="6"/>
      <c r="Q21" s="6"/>
      <c r="R21" s="6"/>
      <c r="S21" s="6"/>
      <c r="T21" s="6"/>
      <c r="U21" s="6"/>
      <c r="V21" s="6"/>
      <c r="W21" s="6"/>
      <c r="X21" s="6"/>
      <c r="Y21" s="6"/>
      <c r="Z21" s="6"/>
    </row>
    <row r="22" ht="63.75" customHeight="1">
      <c r="A22" s="65"/>
      <c r="B22" s="66"/>
      <c r="C22" s="108" t="s">
        <v>102</v>
      </c>
      <c r="D22" s="109" t="s">
        <v>130</v>
      </c>
      <c r="E22" s="110" t="s">
        <v>132</v>
      </c>
      <c r="F22" s="111" t="s">
        <v>124</v>
      </c>
      <c r="G22" s="6"/>
      <c r="H22" s="6"/>
      <c r="I22" s="6"/>
      <c r="J22" s="6"/>
      <c r="K22" s="6"/>
      <c r="L22" s="6"/>
      <c r="M22" s="6"/>
      <c r="N22" s="6"/>
      <c r="O22" s="6"/>
      <c r="P22" s="6"/>
      <c r="Q22" s="6"/>
      <c r="R22" s="6"/>
      <c r="S22" s="6"/>
      <c r="T22" s="6"/>
      <c r="U22" s="6"/>
      <c r="V22" s="6"/>
      <c r="W22" s="6"/>
      <c r="X22" s="6"/>
      <c r="Y22" s="6"/>
      <c r="Z22" s="6"/>
    </row>
    <row r="23" ht="38.25" customHeight="1">
      <c r="A23" s="65"/>
      <c r="B23" s="66"/>
      <c r="C23" s="108" t="s">
        <v>120</v>
      </c>
      <c r="D23" s="109" t="s">
        <v>133</v>
      </c>
      <c r="E23" s="110" t="s">
        <v>132</v>
      </c>
      <c r="F23" s="111" t="s">
        <v>124</v>
      </c>
      <c r="G23" s="6"/>
      <c r="H23" s="6"/>
      <c r="I23" s="6"/>
      <c r="J23" s="6"/>
      <c r="K23" s="6"/>
      <c r="L23" s="6"/>
      <c r="M23" s="6"/>
      <c r="N23" s="6"/>
      <c r="O23" s="6"/>
      <c r="P23" s="6"/>
      <c r="Q23" s="6"/>
      <c r="R23" s="6"/>
      <c r="S23" s="6"/>
      <c r="T23" s="6"/>
      <c r="U23" s="6"/>
      <c r="V23" s="6"/>
      <c r="W23" s="6"/>
      <c r="X23" s="6"/>
      <c r="Y23" s="6"/>
      <c r="Z23" s="6"/>
    </row>
    <row r="24" ht="38.25" customHeight="1">
      <c r="A24" s="65"/>
      <c r="B24" s="66"/>
      <c r="C24" s="108" t="s">
        <v>139</v>
      </c>
      <c r="D24" s="109" t="s">
        <v>140</v>
      </c>
      <c r="E24" s="110" t="s">
        <v>127</v>
      </c>
      <c r="F24" s="111" t="s">
        <v>124</v>
      </c>
      <c r="G24" s="6"/>
      <c r="H24" s="6"/>
      <c r="I24" s="6"/>
      <c r="J24" s="6"/>
      <c r="K24" s="6"/>
      <c r="L24" s="6"/>
      <c r="M24" s="6"/>
      <c r="N24" s="6"/>
      <c r="O24" s="6"/>
      <c r="P24" s="6"/>
      <c r="Q24" s="6"/>
      <c r="R24" s="6"/>
      <c r="S24" s="6"/>
      <c r="T24" s="6"/>
      <c r="U24" s="6"/>
      <c r="V24" s="6"/>
      <c r="W24" s="6"/>
      <c r="X24" s="6"/>
      <c r="Y24" s="6"/>
      <c r="Z24" s="6"/>
    </row>
    <row r="25" ht="38.25" customHeight="1">
      <c r="A25" s="65"/>
      <c r="B25" s="66"/>
      <c r="C25" s="108" t="s">
        <v>144</v>
      </c>
      <c r="D25" s="109" t="s">
        <v>145</v>
      </c>
      <c r="E25" s="110" t="s">
        <v>127</v>
      </c>
      <c r="F25" s="111" t="s">
        <v>124</v>
      </c>
      <c r="G25" s="6"/>
      <c r="H25" s="6"/>
      <c r="I25" s="6"/>
      <c r="J25" s="6"/>
      <c r="K25" s="6"/>
      <c r="L25" s="6"/>
      <c r="M25" s="6"/>
      <c r="N25" s="6"/>
      <c r="O25" s="6"/>
      <c r="P25" s="6"/>
      <c r="Q25" s="6"/>
      <c r="R25" s="6"/>
      <c r="S25" s="6"/>
      <c r="T25" s="6"/>
      <c r="U25" s="6"/>
      <c r="V25" s="6"/>
      <c r="W25" s="6"/>
      <c r="X25" s="6"/>
      <c r="Y25" s="6"/>
      <c r="Z25" s="6"/>
    </row>
    <row r="26" ht="38.25" customHeight="1">
      <c r="A26" s="65"/>
      <c r="B26" s="66"/>
      <c r="C26" s="108" t="s">
        <v>146</v>
      </c>
      <c r="D26" s="109" t="s">
        <v>147</v>
      </c>
      <c r="E26" s="110" t="s">
        <v>132</v>
      </c>
      <c r="F26" s="111" t="s">
        <v>124</v>
      </c>
      <c r="G26" s="6"/>
      <c r="H26" s="6"/>
      <c r="I26" s="6"/>
      <c r="J26" s="6"/>
      <c r="K26" s="6"/>
      <c r="L26" s="6"/>
      <c r="M26" s="6"/>
      <c r="N26" s="6"/>
      <c r="O26" s="6"/>
      <c r="P26" s="6"/>
      <c r="Q26" s="6"/>
      <c r="R26" s="6"/>
      <c r="S26" s="6"/>
      <c r="T26" s="6"/>
      <c r="U26" s="6"/>
      <c r="V26" s="6"/>
      <c r="W26" s="6"/>
      <c r="X26" s="6"/>
      <c r="Y26" s="6"/>
      <c r="Z26" s="6"/>
    </row>
    <row r="27" ht="44.25" customHeight="1">
      <c r="A27" s="65"/>
      <c r="B27" s="66"/>
      <c r="C27" s="108" t="s">
        <v>150</v>
      </c>
      <c r="D27" s="109" t="s">
        <v>151</v>
      </c>
      <c r="E27" s="110" t="s">
        <v>132</v>
      </c>
      <c r="F27" s="111" t="s">
        <v>124</v>
      </c>
      <c r="G27" s="6"/>
      <c r="H27" s="6"/>
      <c r="I27" s="6"/>
      <c r="J27" s="6"/>
      <c r="K27" s="6"/>
      <c r="L27" s="6"/>
      <c r="M27" s="6"/>
      <c r="N27" s="6"/>
      <c r="O27" s="6"/>
      <c r="P27" s="6"/>
      <c r="Q27" s="6"/>
      <c r="R27" s="6"/>
      <c r="S27" s="6"/>
      <c r="T27" s="6"/>
      <c r="U27" s="6"/>
      <c r="V27" s="6"/>
      <c r="W27" s="6"/>
      <c r="X27" s="6"/>
      <c r="Y27" s="6"/>
      <c r="Z27" s="6"/>
    </row>
    <row r="28" ht="38.25" customHeight="1">
      <c r="A28" s="65"/>
      <c r="B28" s="66"/>
      <c r="C28" s="108" t="s">
        <v>153</v>
      </c>
      <c r="D28" s="109" t="s">
        <v>154</v>
      </c>
      <c r="E28" s="110" t="s">
        <v>127</v>
      </c>
      <c r="F28" s="111" t="s">
        <v>124</v>
      </c>
      <c r="G28" s="6"/>
      <c r="H28" s="6"/>
      <c r="I28" s="6"/>
      <c r="J28" s="6"/>
      <c r="K28" s="6"/>
      <c r="L28" s="6"/>
      <c r="M28" s="6"/>
      <c r="N28" s="6"/>
      <c r="O28" s="6"/>
      <c r="P28" s="6"/>
      <c r="Q28" s="6"/>
      <c r="R28" s="6"/>
      <c r="S28" s="6"/>
      <c r="T28" s="6"/>
      <c r="U28" s="6"/>
      <c r="V28" s="6"/>
      <c r="W28" s="6"/>
      <c r="X28" s="6"/>
      <c r="Y28" s="6"/>
      <c r="Z28" s="6"/>
    </row>
    <row r="29" ht="44.25" customHeight="1">
      <c r="A29" s="65"/>
      <c r="B29" s="66"/>
      <c r="C29" s="108" t="s">
        <v>157</v>
      </c>
      <c r="D29" s="109" t="s">
        <v>158</v>
      </c>
      <c r="E29" s="110" t="s">
        <v>132</v>
      </c>
      <c r="F29" s="111" t="s">
        <v>159</v>
      </c>
      <c r="G29" s="6"/>
      <c r="H29" s="6"/>
      <c r="I29" s="6"/>
      <c r="J29" s="6"/>
      <c r="K29" s="6"/>
      <c r="L29" s="6"/>
      <c r="M29" s="6"/>
      <c r="N29" s="6"/>
      <c r="O29" s="6"/>
      <c r="P29" s="6"/>
      <c r="Q29" s="6"/>
      <c r="R29" s="6"/>
      <c r="S29" s="6"/>
      <c r="T29" s="6"/>
      <c r="U29" s="6"/>
      <c r="V29" s="6"/>
      <c r="W29" s="6"/>
      <c r="X29" s="6"/>
      <c r="Y29" s="6"/>
      <c r="Z29" s="6"/>
    </row>
    <row r="30" ht="48.0" customHeight="1">
      <c r="A30" s="65"/>
      <c r="B30" s="66"/>
      <c r="C30" s="108" t="s">
        <v>162</v>
      </c>
      <c r="D30" s="112" t="s">
        <v>164</v>
      </c>
      <c r="E30" s="110" t="s">
        <v>132</v>
      </c>
      <c r="F30" s="111" t="s">
        <v>159</v>
      </c>
      <c r="G30" s="6"/>
      <c r="H30" s="6"/>
      <c r="I30" s="6"/>
      <c r="J30" s="6"/>
      <c r="K30" s="6"/>
      <c r="L30" s="6"/>
      <c r="M30" s="6"/>
      <c r="N30" s="6"/>
      <c r="O30" s="6"/>
      <c r="P30" s="6"/>
      <c r="Q30" s="6"/>
      <c r="R30" s="6"/>
      <c r="S30" s="6"/>
      <c r="T30" s="6"/>
      <c r="U30" s="6"/>
      <c r="V30" s="6"/>
      <c r="W30" s="6"/>
      <c r="X30" s="6"/>
      <c r="Y30" s="6"/>
      <c r="Z30" s="6"/>
    </row>
    <row r="31" ht="60.0" customHeight="1">
      <c r="A31" s="65"/>
      <c r="B31" s="66"/>
      <c r="C31" s="108" t="s">
        <v>168</v>
      </c>
      <c r="D31" s="113" t="s">
        <v>169</v>
      </c>
      <c r="E31" s="110" t="s">
        <v>132</v>
      </c>
      <c r="F31" s="111" t="s">
        <v>159</v>
      </c>
      <c r="G31" s="6"/>
      <c r="H31" s="6"/>
      <c r="I31" s="6"/>
      <c r="J31" s="6"/>
      <c r="K31" s="6"/>
      <c r="L31" s="6"/>
      <c r="M31" s="6"/>
      <c r="N31" s="6"/>
      <c r="O31" s="6"/>
      <c r="P31" s="6"/>
      <c r="Q31" s="6"/>
      <c r="R31" s="6"/>
      <c r="S31" s="6"/>
      <c r="T31" s="6"/>
      <c r="U31" s="6"/>
      <c r="V31" s="6"/>
      <c r="W31" s="6"/>
      <c r="X31" s="6"/>
      <c r="Y31" s="6"/>
      <c r="Z31" s="6"/>
    </row>
    <row r="32" ht="12.75" customHeight="1">
      <c r="A32" s="65"/>
      <c r="B32" s="66"/>
      <c r="C32" s="114"/>
      <c r="D32" s="115"/>
      <c r="E32" s="94"/>
      <c r="F32" s="116"/>
      <c r="G32" s="6"/>
      <c r="H32" s="6"/>
      <c r="I32" s="6"/>
      <c r="J32" s="6"/>
      <c r="K32" s="6"/>
      <c r="L32" s="6"/>
      <c r="M32" s="6"/>
      <c r="N32" s="6"/>
      <c r="O32" s="6"/>
      <c r="P32" s="6"/>
      <c r="Q32" s="6"/>
      <c r="R32" s="6"/>
      <c r="S32" s="6"/>
      <c r="T32" s="6"/>
      <c r="U32" s="6"/>
      <c r="V32" s="6"/>
      <c r="W32" s="6"/>
      <c r="X32" s="6"/>
      <c r="Y32" s="6"/>
      <c r="Z32" s="6"/>
    </row>
    <row r="33" ht="14.25" customHeight="1">
      <c r="A33" s="117"/>
      <c r="B33" s="118"/>
      <c r="C33" s="119"/>
      <c r="D33" s="119"/>
      <c r="E33" s="120"/>
      <c r="F33" s="92"/>
      <c r="G33" s="6"/>
      <c r="H33" s="6"/>
      <c r="I33" s="6"/>
      <c r="J33" s="6"/>
      <c r="K33" s="6"/>
      <c r="L33" s="6"/>
      <c r="M33" s="6"/>
      <c r="N33" s="6"/>
      <c r="O33" s="6"/>
      <c r="P33" s="6"/>
      <c r="Q33" s="6"/>
      <c r="R33" s="6"/>
      <c r="S33" s="6"/>
      <c r="T33" s="6"/>
      <c r="U33" s="6"/>
      <c r="V33" s="6"/>
      <c r="W33" s="6"/>
      <c r="X33" s="6"/>
      <c r="Y33" s="6"/>
      <c r="Z33" s="6"/>
    </row>
    <row r="34" ht="43.5" customHeight="1">
      <c r="A34" s="121">
        <v>8.0</v>
      </c>
      <c r="B34" s="122" t="s">
        <v>181</v>
      </c>
      <c r="C34" s="123" t="s">
        <v>183</v>
      </c>
      <c r="D34" s="80" t="s">
        <v>47</v>
      </c>
      <c r="E34" s="80" t="s">
        <v>183</v>
      </c>
      <c r="F34" s="107" t="s">
        <v>47</v>
      </c>
      <c r="G34" s="6"/>
      <c r="H34" s="6"/>
      <c r="I34" s="6"/>
      <c r="J34" s="6"/>
      <c r="K34" s="6"/>
      <c r="L34" s="6"/>
      <c r="M34" s="6"/>
      <c r="N34" s="6"/>
      <c r="O34" s="6"/>
      <c r="P34" s="6"/>
      <c r="Q34" s="6"/>
      <c r="R34" s="6"/>
      <c r="S34" s="6"/>
      <c r="T34" s="6"/>
      <c r="U34" s="6"/>
      <c r="V34" s="6"/>
      <c r="W34" s="6"/>
      <c r="X34" s="6"/>
      <c r="Y34" s="6"/>
      <c r="Z34" s="6"/>
    </row>
    <row r="35" ht="51.0" customHeight="1">
      <c r="A35" s="65"/>
      <c r="B35" s="124"/>
      <c r="C35" s="125" t="s">
        <v>77</v>
      </c>
      <c r="D35" s="126" t="s">
        <v>187</v>
      </c>
      <c r="E35" s="127"/>
      <c r="F35" s="128"/>
      <c r="G35" s="6"/>
      <c r="H35" s="6"/>
      <c r="I35" s="6"/>
      <c r="J35" s="6"/>
      <c r="K35" s="6"/>
      <c r="L35" s="6"/>
      <c r="M35" s="6"/>
      <c r="N35" s="6"/>
      <c r="O35" s="6"/>
      <c r="P35" s="6"/>
      <c r="Q35" s="6"/>
      <c r="R35" s="6"/>
      <c r="S35" s="6"/>
      <c r="T35" s="6"/>
      <c r="U35" s="6"/>
      <c r="V35" s="6"/>
      <c r="W35" s="6"/>
      <c r="X35" s="6"/>
      <c r="Y35" s="6"/>
      <c r="Z35" s="6"/>
    </row>
    <row r="36" ht="93.75" customHeight="1">
      <c r="A36" s="65"/>
      <c r="B36" s="124"/>
      <c r="C36" s="129" t="s">
        <v>86</v>
      </c>
      <c r="D36" s="126" t="s">
        <v>192</v>
      </c>
      <c r="E36" s="127"/>
      <c r="F36" s="128"/>
      <c r="G36" s="6"/>
      <c r="H36" s="6"/>
      <c r="I36" s="6"/>
      <c r="J36" s="6"/>
      <c r="K36" s="6"/>
      <c r="L36" s="6"/>
      <c r="M36" s="6"/>
      <c r="N36" s="6"/>
      <c r="O36" s="6"/>
      <c r="P36" s="6"/>
      <c r="Q36" s="6"/>
      <c r="R36" s="6"/>
      <c r="S36" s="6"/>
      <c r="T36" s="6"/>
      <c r="U36" s="6"/>
      <c r="V36" s="6"/>
      <c r="W36" s="6"/>
      <c r="X36" s="6"/>
      <c r="Y36" s="6"/>
      <c r="Z36" s="6"/>
    </row>
    <row r="37" ht="41.25" customHeight="1">
      <c r="A37" s="65"/>
      <c r="B37" s="124"/>
      <c r="C37" s="129" t="s">
        <v>92</v>
      </c>
      <c r="D37" s="126" t="s">
        <v>197</v>
      </c>
      <c r="E37" s="127"/>
      <c r="F37" s="128"/>
      <c r="G37" s="6"/>
      <c r="H37" s="6"/>
      <c r="I37" s="6"/>
      <c r="J37" s="6"/>
      <c r="K37" s="6"/>
      <c r="L37" s="6"/>
      <c r="M37" s="6"/>
      <c r="N37" s="6"/>
      <c r="O37" s="6"/>
      <c r="P37" s="6"/>
      <c r="Q37" s="6"/>
      <c r="R37" s="6"/>
      <c r="S37" s="6"/>
      <c r="T37" s="6"/>
      <c r="U37" s="6"/>
      <c r="V37" s="6"/>
      <c r="W37" s="6"/>
      <c r="X37" s="6"/>
      <c r="Y37" s="6"/>
      <c r="Z37" s="6"/>
    </row>
    <row r="38" ht="19.5" customHeight="1">
      <c r="A38" s="65"/>
      <c r="B38" s="124"/>
      <c r="C38" s="130"/>
      <c r="D38" s="127"/>
      <c r="E38" s="127"/>
      <c r="F38" s="128"/>
      <c r="G38" s="6"/>
      <c r="H38" s="6"/>
      <c r="I38" s="6"/>
      <c r="J38" s="6"/>
      <c r="K38" s="6"/>
      <c r="L38" s="6"/>
      <c r="M38" s="6"/>
      <c r="N38" s="6"/>
      <c r="O38" s="6"/>
      <c r="P38" s="6"/>
      <c r="Q38" s="6"/>
      <c r="R38" s="6"/>
      <c r="S38" s="6"/>
      <c r="T38" s="6"/>
      <c r="U38" s="6"/>
      <c r="V38" s="6"/>
      <c r="W38" s="6"/>
      <c r="X38" s="6"/>
      <c r="Y38" s="6"/>
      <c r="Z38" s="6"/>
    </row>
    <row r="39" ht="12.75" customHeight="1">
      <c r="A39" s="65"/>
      <c r="B39" s="124"/>
      <c r="C39" s="131"/>
      <c r="D39" s="127"/>
      <c r="E39" s="127"/>
      <c r="F39" s="128"/>
      <c r="G39" s="6"/>
      <c r="H39" s="6"/>
      <c r="I39" s="6"/>
      <c r="J39" s="6"/>
      <c r="K39" s="6"/>
      <c r="L39" s="6"/>
      <c r="M39" s="6"/>
      <c r="N39" s="6"/>
      <c r="O39" s="6"/>
      <c r="P39" s="6"/>
      <c r="Q39" s="6"/>
      <c r="R39" s="6"/>
      <c r="S39" s="6"/>
      <c r="T39" s="6"/>
      <c r="U39" s="6"/>
      <c r="V39" s="6"/>
      <c r="W39" s="6"/>
      <c r="X39" s="6"/>
      <c r="Y39" s="6"/>
      <c r="Z39" s="6"/>
    </row>
    <row r="40" ht="12.75" customHeight="1">
      <c r="A40" s="65"/>
      <c r="B40" s="124"/>
      <c r="C40" s="131"/>
      <c r="D40" s="95"/>
      <c r="E40" s="127"/>
      <c r="F40" s="128"/>
      <c r="G40" s="6"/>
      <c r="H40" s="6"/>
      <c r="I40" s="6"/>
      <c r="J40" s="6"/>
      <c r="K40" s="6"/>
      <c r="L40" s="6"/>
      <c r="M40" s="6"/>
      <c r="N40" s="6"/>
      <c r="O40" s="6"/>
      <c r="P40" s="6"/>
      <c r="Q40" s="6"/>
      <c r="R40" s="6"/>
      <c r="S40" s="6"/>
      <c r="T40" s="6"/>
      <c r="U40" s="6"/>
      <c r="V40" s="6"/>
      <c r="W40" s="6"/>
      <c r="X40" s="6"/>
      <c r="Y40" s="6"/>
      <c r="Z40" s="6"/>
    </row>
    <row r="41" ht="12.75" customHeight="1">
      <c r="A41" s="117"/>
      <c r="B41" s="132"/>
      <c r="C41" s="133"/>
      <c r="D41" s="127"/>
      <c r="E41" s="127"/>
      <c r="F41" s="128"/>
      <c r="G41" s="6"/>
      <c r="H41" s="6"/>
      <c r="I41" s="6"/>
      <c r="J41" s="6"/>
      <c r="K41" s="6"/>
      <c r="L41" s="6"/>
      <c r="M41" s="6"/>
      <c r="N41" s="6"/>
      <c r="O41" s="6"/>
      <c r="P41" s="6"/>
      <c r="Q41" s="6"/>
      <c r="R41" s="6"/>
      <c r="S41" s="6"/>
      <c r="T41" s="6"/>
      <c r="U41" s="6"/>
      <c r="V41" s="6"/>
      <c r="W41" s="6"/>
      <c r="X41" s="6"/>
      <c r="Y41" s="6"/>
      <c r="Z41" s="6"/>
    </row>
    <row r="42" ht="12.75" customHeight="1">
      <c r="A42" s="121">
        <v>9.0</v>
      </c>
      <c r="B42" s="135" t="s">
        <v>208</v>
      </c>
      <c r="C42" s="136" t="s">
        <v>210</v>
      </c>
      <c r="D42" s="137">
        <f>JavaSpring_Schedule!H66</f>
        <v>0</v>
      </c>
      <c r="E42" s="138" t="s">
        <v>213</v>
      </c>
      <c r="F42" s="139" t="s">
        <v>215</v>
      </c>
      <c r="G42" s="6"/>
      <c r="H42" s="6"/>
      <c r="I42" s="6"/>
      <c r="J42" s="6"/>
      <c r="K42" s="6"/>
      <c r="L42" s="6"/>
      <c r="M42" s="6"/>
      <c r="N42" s="6"/>
      <c r="O42" s="6"/>
      <c r="P42" s="6"/>
      <c r="Q42" s="6"/>
      <c r="R42" s="6"/>
      <c r="S42" s="6"/>
      <c r="T42" s="6"/>
      <c r="U42" s="6"/>
      <c r="V42" s="6"/>
      <c r="W42" s="6"/>
      <c r="X42" s="6"/>
      <c r="Y42" s="6"/>
      <c r="Z42" s="6"/>
    </row>
    <row r="43" ht="12.75" customHeight="1">
      <c r="A43" s="65"/>
      <c r="B43" s="124"/>
      <c r="C43" s="136" t="s">
        <v>29</v>
      </c>
      <c r="D43" s="137">
        <f>JavaSpring_Schedule!H67</f>
        <v>0.4444444444</v>
      </c>
      <c r="E43" s="140" t="s">
        <v>217</v>
      </c>
      <c r="F43" s="141"/>
      <c r="G43" s="101"/>
      <c r="H43" s="6"/>
      <c r="I43" s="6"/>
      <c r="J43" s="6"/>
      <c r="K43" s="6"/>
      <c r="L43" s="6"/>
      <c r="M43" s="6"/>
      <c r="N43" s="6"/>
      <c r="O43" s="6"/>
      <c r="P43" s="6"/>
      <c r="Q43" s="6"/>
      <c r="R43" s="6"/>
      <c r="S43" s="6"/>
      <c r="T43" s="6"/>
      <c r="U43" s="6"/>
      <c r="V43" s="6"/>
      <c r="W43" s="6"/>
      <c r="X43" s="6"/>
      <c r="Y43" s="6"/>
      <c r="Z43" s="6"/>
    </row>
    <row r="44" ht="25.5" customHeight="1">
      <c r="A44" s="65"/>
      <c r="B44" s="124"/>
      <c r="C44" s="136" t="s">
        <v>221</v>
      </c>
      <c r="D44" s="137">
        <f>JavaSpring_Schedule!H68</f>
        <v>0</v>
      </c>
      <c r="E44" s="140" t="s">
        <v>223</v>
      </c>
      <c r="F44" s="141"/>
      <c r="G44" s="101"/>
      <c r="H44" s="6"/>
      <c r="I44" s="6"/>
      <c r="J44" s="6"/>
      <c r="K44" s="6"/>
      <c r="L44" s="6"/>
      <c r="M44" s="6"/>
      <c r="N44" s="6"/>
      <c r="O44" s="6"/>
      <c r="P44" s="6"/>
      <c r="Q44" s="6"/>
      <c r="R44" s="6"/>
      <c r="S44" s="6"/>
      <c r="T44" s="6"/>
      <c r="U44" s="6"/>
      <c r="V44" s="6"/>
      <c r="W44" s="6"/>
      <c r="X44" s="6"/>
      <c r="Y44" s="6"/>
      <c r="Z44" s="6"/>
    </row>
    <row r="45" ht="12.75" customHeight="1">
      <c r="A45" s="65"/>
      <c r="B45" s="124"/>
      <c r="C45" s="136" t="s">
        <v>227</v>
      </c>
      <c r="D45" s="137">
        <f>JavaSpring_Schedule!H69</f>
        <v>0.02777777778</v>
      </c>
      <c r="E45" s="140" t="s">
        <v>229</v>
      </c>
      <c r="F45" s="141"/>
      <c r="G45" s="101"/>
      <c r="H45" s="6"/>
      <c r="I45" s="6"/>
      <c r="J45" s="6"/>
      <c r="K45" s="6"/>
      <c r="L45" s="6"/>
      <c r="M45" s="6"/>
      <c r="N45" s="6"/>
      <c r="O45" s="6"/>
      <c r="P45" s="6"/>
      <c r="Q45" s="6"/>
      <c r="R45" s="6"/>
      <c r="S45" s="6"/>
      <c r="T45" s="6"/>
      <c r="U45" s="6"/>
      <c r="V45" s="6"/>
      <c r="W45" s="6"/>
      <c r="X45" s="6"/>
      <c r="Y45" s="6"/>
      <c r="Z45" s="6"/>
    </row>
    <row r="46" ht="25.5" customHeight="1">
      <c r="A46" s="65"/>
      <c r="B46" s="124"/>
      <c r="C46" s="142" t="s">
        <v>36</v>
      </c>
      <c r="D46" s="137">
        <f>JavaSpring_Schedule!H70</f>
        <v>0.4444444444</v>
      </c>
      <c r="E46" s="127" t="s">
        <v>230</v>
      </c>
      <c r="F46" s="141"/>
      <c r="G46" s="101"/>
      <c r="H46" s="6"/>
      <c r="I46" s="6"/>
      <c r="J46" s="6"/>
      <c r="K46" s="6"/>
      <c r="L46" s="6"/>
      <c r="M46" s="6"/>
      <c r="N46" s="6"/>
      <c r="O46" s="6"/>
      <c r="P46" s="6"/>
      <c r="Q46" s="6"/>
      <c r="R46" s="6"/>
      <c r="S46" s="6"/>
      <c r="T46" s="6"/>
      <c r="U46" s="6"/>
      <c r="V46" s="6"/>
      <c r="W46" s="6"/>
      <c r="X46" s="6"/>
      <c r="Y46" s="6"/>
      <c r="Z46" s="6"/>
    </row>
    <row r="47" ht="51.0" customHeight="1">
      <c r="A47" s="65"/>
      <c r="B47" s="124"/>
      <c r="C47" s="142" t="s">
        <v>49</v>
      </c>
      <c r="D47" s="137">
        <f>JavaSpring_Schedule!H71</f>
        <v>0.05555555556</v>
      </c>
      <c r="E47" s="127" t="s">
        <v>231</v>
      </c>
      <c r="F47" s="141"/>
      <c r="G47" s="101"/>
      <c r="H47" s="6"/>
      <c r="I47" s="6"/>
      <c r="J47" s="6"/>
      <c r="K47" s="6"/>
      <c r="L47" s="6"/>
      <c r="M47" s="6"/>
      <c r="N47" s="6"/>
      <c r="O47" s="6"/>
      <c r="P47" s="6"/>
      <c r="Q47" s="6"/>
      <c r="R47" s="6"/>
      <c r="S47" s="6"/>
      <c r="T47" s="6"/>
      <c r="U47" s="6"/>
      <c r="V47" s="6"/>
      <c r="W47" s="6"/>
      <c r="X47" s="6"/>
      <c r="Y47" s="6"/>
      <c r="Z47" s="6"/>
    </row>
    <row r="48" ht="12.75" customHeight="1">
      <c r="A48" s="65"/>
      <c r="B48" s="124"/>
      <c r="C48" s="142" t="s">
        <v>232</v>
      </c>
      <c r="D48" s="137">
        <f>JavaSpring_Schedule!H72</f>
        <v>0</v>
      </c>
      <c r="E48" s="127" t="s">
        <v>233</v>
      </c>
      <c r="F48" s="143"/>
      <c r="G48" s="6"/>
      <c r="H48" s="6"/>
      <c r="I48" s="6"/>
      <c r="J48" s="6"/>
      <c r="K48" s="6"/>
      <c r="L48" s="6"/>
      <c r="M48" s="6"/>
      <c r="N48" s="6"/>
      <c r="O48" s="6"/>
      <c r="P48" s="6"/>
      <c r="Q48" s="6"/>
      <c r="R48" s="6"/>
      <c r="S48" s="6"/>
      <c r="T48" s="6"/>
      <c r="U48" s="6"/>
      <c r="V48" s="6"/>
      <c r="W48" s="6"/>
      <c r="X48" s="6"/>
      <c r="Y48" s="6"/>
      <c r="Z48" s="6"/>
    </row>
    <row r="49" ht="25.5" customHeight="1">
      <c r="A49" s="117"/>
      <c r="B49" s="132"/>
      <c r="C49" s="142" t="s">
        <v>235</v>
      </c>
      <c r="D49" s="137">
        <f>JavaSpring_Schedule!H73</f>
        <v>0.02777777778</v>
      </c>
      <c r="E49" s="144" t="s">
        <v>236</v>
      </c>
      <c r="F49" s="145"/>
      <c r="G49" s="101"/>
      <c r="H49" s="6"/>
      <c r="I49" s="6"/>
      <c r="J49" s="6"/>
      <c r="K49" s="6"/>
      <c r="L49" s="6"/>
      <c r="M49" s="6"/>
      <c r="N49" s="6"/>
      <c r="O49" s="6"/>
      <c r="P49" s="6"/>
      <c r="Q49" s="6"/>
      <c r="R49" s="6"/>
      <c r="S49" s="6"/>
      <c r="T49" s="6"/>
      <c r="U49" s="6"/>
      <c r="V49" s="6"/>
      <c r="W49" s="6"/>
      <c r="X49" s="6"/>
      <c r="Y49" s="6"/>
      <c r="Z49" s="6"/>
    </row>
    <row r="50" ht="12.75" customHeight="1">
      <c r="A50" s="121">
        <v>10.0</v>
      </c>
      <c r="B50" s="135" t="s">
        <v>237</v>
      </c>
      <c r="C50" s="146" t="s">
        <v>239</v>
      </c>
      <c r="D50" s="147" t="s">
        <v>240</v>
      </c>
      <c r="E50" s="29"/>
      <c r="F50" s="148"/>
      <c r="G50" s="6"/>
      <c r="H50" s="6"/>
      <c r="I50" s="6"/>
      <c r="J50" s="6"/>
      <c r="K50" s="6"/>
      <c r="L50" s="6"/>
      <c r="M50" s="6"/>
      <c r="N50" s="6"/>
      <c r="O50" s="6"/>
      <c r="P50" s="6"/>
      <c r="Q50" s="6"/>
      <c r="R50" s="6"/>
      <c r="S50" s="6"/>
      <c r="T50" s="6"/>
      <c r="U50" s="6"/>
      <c r="V50" s="6"/>
      <c r="W50" s="6"/>
      <c r="X50" s="6"/>
      <c r="Y50" s="6"/>
      <c r="Z50" s="6"/>
    </row>
    <row r="51" ht="12.75" customHeight="1">
      <c r="A51" s="65"/>
      <c r="B51" s="124"/>
      <c r="C51" s="118"/>
      <c r="D51" s="147" t="s">
        <v>240</v>
      </c>
      <c r="E51" s="29"/>
      <c r="F51" s="148"/>
      <c r="G51" s="6"/>
      <c r="H51" s="6"/>
      <c r="I51" s="6"/>
      <c r="J51" s="6"/>
      <c r="K51" s="6"/>
      <c r="L51" s="6"/>
      <c r="M51" s="6"/>
      <c r="N51" s="6"/>
      <c r="O51" s="6"/>
      <c r="P51" s="6"/>
      <c r="Q51" s="6"/>
      <c r="R51" s="6"/>
      <c r="S51" s="6"/>
      <c r="T51" s="6"/>
      <c r="U51" s="6"/>
      <c r="V51" s="6"/>
      <c r="W51" s="6"/>
      <c r="X51" s="6"/>
      <c r="Y51" s="6"/>
      <c r="Z51" s="6"/>
    </row>
    <row r="52" ht="12.75" customHeight="1">
      <c r="A52" s="65"/>
      <c r="B52" s="124"/>
      <c r="C52" s="146" t="s">
        <v>243</v>
      </c>
      <c r="D52" s="147" t="s">
        <v>240</v>
      </c>
      <c r="E52" s="29"/>
      <c r="F52" s="148"/>
      <c r="G52" s="6"/>
      <c r="H52" s="6"/>
      <c r="I52" s="6"/>
      <c r="J52" s="6"/>
      <c r="K52" s="6"/>
      <c r="L52" s="6"/>
      <c r="M52" s="6"/>
      <c r="N52" s="6"/>
      <c r="O52" s="6"/>
      <c r="P52" s="6"/>
      <c r="Q52" s="6"/>
      <c r="R52" s="6"/>
      <c r="S52" s="6"/>
      <c r="T52" s="6"/>
      <c r="U52" s="6"/>
      <c r="V52" s="6"/>
      <c r="W52" s="6"/>
      <c r="X52" s="6"/>
      <c r="Y52" s="6"/>
      <c r="Z52" s="6"/>
    </row>
    <row r="53" ht="12.75" customHeight="1">
      <c r="A53" s="65"/>
      <c r="B53" s="124"/>
      <c r="C53" s="66"/>
      <c r="D53" s="147" t="s">
        <v>240</v>
      </c>
      <c r="E53" s="29"/>
      <c r="F53" s="148"/>
      <c r="G53" s="6"/>
      <c r="H53" s="6"/>
      <c r="I53" s="6"/>
      <c r="J53" s="6"/>
      <c r="K53" s="6"/>
      <c r="L53" s="6"/>
      <c r="M53" s="6"/>
      <c r="N53" s="6"/>
      <c r="O53" s="6"/>
      <c r="P53" s="6"/>
      <c r="Q53" s="6"/>
      <c r="R53" s="6"/>
      <c r="S53" s="6"/>
      <c r="T53" s="6"/>
      <c r="U53" s="6"/>
      <c r="V53" s="6"/>
      <c r="W53" s="6"/>
      <c r="X53" s="6"/>
      <c r="Y53" s="6"/>
      <c r="Z53" s="6"/>
    </row>
    <row r="54" ht="12.75" customHeight="1">
      <c r="A54" s="65"/>
      <c r="B54" s="124"/>
      <c r="C54" s="118"/>
      <c r="D54" s="147" t="s">
        <v>240</v>
      </c>
      <c r="E54" s="29"/>
      <c r="F54" s="148"/>
      <c r="G54" s="6"/>
      <c r="H54" s="6"/>
      <c r="I54" s="6"/>
      <c r="J54" s="6"/>
      <c r="K54" s="6"/>
      <c r="L54" s="6"/>
      <c r="M54" s="6"/>
      <c r="N54" s="6"/>
      <c r="O54" s="6"/>
      <c r="P54" s="6"/>
      <c r="Q54" s="6"/>
      <c r="R54" s="6"/>
      <c r="S54" s="6"/>
      <c r="T54" s="6"/>
      <c r="U54" s="6"/>
      <c r="V54" s="6"/>
      <c r="W54" s="6"/>
      <c r="X54" s="6"/>
      <c r="Y54" s="6"/>
      <c r="Z54" s="6"/>
    </row>
    <row r="55" ht="63.0" customHeight="1">
      <c r="A55" s="117"/>
      <c r="B55" s="132"/>
      <c r="C55" s="157" t="s">
        <v>273</v>
      </c>
      <c r="D55" s="147" t="s">
        <v>240</v>
      </c>
      <c r="E55" s="29"/>
      <c r="F55" s="148"/>
      <c r="G55" s="6"/>
      <c r="H55" s="6"/>
      <c r="I55" s="6"/>
      <c r="J55" s="6"/>
      <c r="K55" s="6"/>
      <c r="L55" s="6"/>
      <c r="M55" s="6"/>
      <c r="N55" s="6"/>
      <c r="O55" s="6"/>
      <c r="P55" s="6"/>
      <c r="Q55" s="6"/>
      <c r="R55" s="6"/>
      <c r="S55" s="6"/>
      <c r="T55" s="6"/>
      <c r="U55" s="6"/>
      <c r="V55" s="6"/>
      <c r="W55" s="6"/>
      <c r="X55" s="6"/>
      <c r="Y55" s="6"/>
      <c r="Z55" s="6"/>
    </row>
    <row r="56" ht="30.0" customHeight="1">
      <c r="A56" s="121">
        <v>11.0</v>
      </c>
      <c r="B56" s="135" t="s">
        <v>281</v>
      </c>
      <c r="C56" s="157" t="s">
        <v>284</v>
      </c>
      <c r="D56" s="162" t="s">
        <v>286</v>
      </c>
      <c r="E56" s="163"/>
      <c r="F56" s="164"/>
      <c r="G56" s="6"/>
      <c r="H56" s="6"/>
      <c r="I56" s="6"/>
      <c r="J56" s="6"/>
      <c r="K56" s="6"/>
      <c r="L56" s="6"/>
      <c r="M56" s="6"/>
      <c r="N56" s="6"/>
      <c r="O56" s="6"/>
      <c r="P56" s="6"/>
      <c r="Q56" s="6"/>
      <c r="R56" s="6"/>
      <c r="S56" s="6"/>
      <c r="T56" s="6"/>
      <c r="U56" s="6"/>
      <c r="V56" s="6"/>
      <c r="W56" s="6"/>
      <c r="X56" s="6"/>
      <c r="Y56" s="6"/>
      <c r="Z56" s="6"/>
    </row>
    <row r="57" ht="30.0" customHeight="1">
      <c r="A57" s="65"/>
      <c r="B57" s="124"/>
      <c r="C57" s="157" t="s">
        <v>289</v>
      </c>
      <c r="D57" s="167" t="s">
        <v>290</v>
      </c>
      <c r="E57" s="163"/>
      <c r="F57" s="164"/>
      <c r="G57" s="6"/>
      <c r="H57" s="6"/>
      <c r="I57" s="6"/>
      <c r="J57" s="6"/>
      <c r="K57" s="6"/>
      <c r="L57" s="6"/>
      <c r="M57" s="6"/>
      <c r="N57" s="6"/>
      <c r="O57" s="6"/>
      <c r="P57" s="6"/>
      <c r="Q57" s="6"/>
      <c r="R57" s="6"/>
      <c r="S57" s="6"/>
      <c r="T57" s="6"/>
      <c r="U57" s="6"/>
      <c r="V57" s="6"/>
      <c r="W57" s="6"/>
      <c r="X57" s="6"/>
      <c r="Y57" s="6"/>
      <c r="Z57" s="6"/>
    </row>
    <row r="58" ht="61.5" customHeight="1">
      <c r="A58" s="65"/>
      <c r="B58" s="124"/>
      <c r="C58" s="157" t="s">
        <v>294</v>
      </c>
      <c r="D58" s="171" t="s">
        <v>295</v>
      </c>
      <c r="E58" s="172"/>
      <c r="F58" s="173"/>
      <c r="G58" s="6"/>
      <c r="H58" s="6"/>
      <c r="I58" s="6"/>
      <c r="J58" s="6"/>
      <c r="K58" s="6"/>
      <c r="L58" s="6"/>
      <c r="M58" s="6"/>
      <c r="N58" s="6"/>
      <c r="O58" s="6"/>
      <c r="P58" s="6"/>
      <c r="Q58" s="6"/>
      <c r="R58" s="6"/>
      <c r="S58" s="6"/>
      <c r="T58" s="6"/>
      <c r="U58" s="6"/>
      <c r="V58" s="6"/>
      <c r="W58" s="6"/>
      <c r="X58" s="6"/>
      <c r="Y58" s="6"/>
      <c r="Z58" s="6"/>
    </row>
    <row r="59" ht="32.25" customHeight="1">
      <c r="A59" s="117"/>
      <c r="B59" s="132"/>
      <c r="C59" s="157" t="s">
        <v>297</v>
      </c>
      <c r="D59" s="174" t="s">
        <v>298</v>
      </c>
      <c r="E59" s="176"/>
      <c r="F59" s="177"/>
      <c r="G59" s="6"/>
      <c r="H59" s="6"/>
      <c r="I59" s="6"/>
      <c r="J59" s="6"/>
      <c r="K59" s="6"/>
      <c r="L59" s="6"/>
      <c r="M59" s="6"/>
      <c r="N59" s="6"/>
      <c r="O59" s="6"/>
      <c r="P59" s="6"/>
      <c r="Q59" s="6"/>
      <c r="R59" s="6"/>
      <c r="S59" s="6"/>
      <c r="T59" s="6"/>
      <c r="U59" s="6"/>
      <c r="V59" s="6"/>
      <c r="W59" s="6"/>
      <c r="X59" s="6"/>
      <c r="Y59" s="6"/>
      <c r="Z59" s="6"/>
    </row>
    <row r="60" ht="35.25" customHeight="1">
      <c r="A60" s="121">
        <v>12.0</v>
      </c>
      <c r="B60" s="122" t="s">
        <v>301</v>
      </c>
      <c r="C60" s="157" t="s">
        <v>304</v>
      </c>
      <c r="D60" s="182" t="s">
        <v>305</v>
      </c>
      <c r="E60" s="184"/>
      <c r="F60" s="185"/>
      <c r="G60" s="6"/>
      <c r="H60" s="6"/>
      <c r="I60" s="6"/>
      <c r="J60" s="6"/>
      <c r="K60" s="6"/>
      <c r="L60" s="6"/>
      <c r="M60" s="6"/>
      <c r="N60" s="6"/>
      <c r="O60" s="6"/>
      <c r="P60" s="6"/>
      <c r="Q60" s="6"/>
      <c r="R60" s="6"/>
      <c r="S60" s="6"/>
      <c r="T60" s="6"/>
      <c r="U60" s="6"/>
      <c r="V60" s="6"/>
      <c r="W60" s="6"/>
      <c r="X60" s="6"/>
      <c r="Y60" s="6"/>
      <c r="Z60" s="6"/>
    </row>
    <row r="61" ht="32.25" customHeight="1">
      <c r="A61" s="65"/>
      <c r="B61" s="124"/>
      <c r="C61" s="157" t="s">
        <v>13</v>
      </c>
      <c r="D61" s="188" t="s">
        <v>306</v>
      </c>
      <c r="E61" s="29"/>
      <c r="F61" s="148"/>
      <c r="G61" s="6"/>
      <c r="H61" s="6"/>
      <c r="I61" s="6"/>
      <c r="J61" s="6"/>
      <c r="K61" s="6"/>
      <c r="L61" s="6"/>
      <c r="M61" s="6"/>
      <c r="N61" s="6"/>
      <c r="O61" s="6"/>
      <c r="P61" s="6"/>
      <c r="Q61" s="6"/>
      <c r="R61" s="6"/>
      <c r="S61" s="6"/>
      <c r="T61" s="6"/>
      <c r="U61" s="6"/>
      <c r="V61" s="6"/>
      <c r="W61" s="6"/>
      <c r="X61" s="6"/>
      <c r="Y61" s="6"/>
      <c r="Z61" s="6"/>
    </row>
    <row r="62" ht="77.25" customHeight="1">
      <c r="A62" s="65"/>
      <c r="B62" s="124"/>
      <c r="C62" s="157" t="s">
        <v>307</v>
      </c>
      <c r="D62" s="189" t="s">
        <v>308</v>
      </c>
      <c r="E62" s="29"/>
      <c r="F62" s="31"/>
      <c r="G62" s="6"/>
      <c r="H62" s="6"/>
      <c r="I62" s="6"/>
      <c r="J62" s="6"/>
      <c r="K62" s="6"/>
      <c r="L62" s="6"/>
      <c r="M62" s="6"/>
      <c r="N62" s="6"/>
      <c r="O62" s="6"/>
      <c r="P62" s="6"/>
      <c r="Q62" s="6"/>
      <c r="R62" s="6"/>
      <c r="S62" s="6"/>
      <c r="T62" s="6"/>
      <c r="U62" s="6"/>
      <c r="V62" s="6"/>
      <c r="W62" s="6"/>
      <c r="X62" s="6"/>
      <c r="Y62" s="6"/>
      <c r="Z62" s="6"/>
    </row>
    <row r="63" ht="32.25" customHeight="1">
      <c r="A63" s="65"/>
      <c r="B63" s="124"/>
      <c r="C63" s="157" t="s">
        <v>309</v>
      </c>
      <c r="D63" s="191">
        <v>1.0</v>
      </c>
      <c r="E63" s="192" t="s">
        <v>310</v>
      </c>
      <c r="F63" s="148"/>
      <c r="G63" s="6"/>
      <c r="H63" s="6"/>
      <c r="I63" s="6"/>
      <c r="J63" s="6"/>
      <c r="K63" s="6"/>
      <c r="L63" s="6"/>
      <c r="M63" s="6"/>
      <c r="N63" s="6"/>
      <c r="O63" s="6"/>
      <c r="P63" s="6"/>
      <c r="Q63" s="6"/>
      <c r="R63" s="6"/>
      <c r="S63" s="6"/>
      <c r="T63" s="6"/>
      <c r="U63" s="6"/>
      <c r="V63" s="6"/>
      <c r="W63" s="6"/>
      <c r="X63" s="6"/>
      <c r="Y63" s="6"/>
      <c r="Z63" s="6"/>
    </row>
    <row r="64" ht="78.75" customHeight="1">
      <c r="A64" s="65"/>
      <c r="B64" s="124"/>
      <c r="C64" s="157" t="s">
        <v>311</v>
      </c>
      <c r="D64" s="208" t="s">
        <v>312</v>
      </c>
      <c r="E64" s="209"/>
      <c r="F64" s="210"/>
      <c r="G64" s="6"/>
      <c r="H64" s="6"/>
      <c r="I64" s="6"/>
      <c r="J64" s="6"/>
      <c r="K64" s="6"/>
      <c r="L64" s="6"/>
      <c r="M64" s="6"/>
      <c r="N64" s="6"/>
      <c r="O64" s="6"/>
      <c r="P64" s="6"/>
      <c r="Q64" s="6"/>
      <c r="R64" s="6"/>
      <c r="S64" s="6"/>
      <c r="T64" s="6"/>
      <c r="U64" s="6"/>
      <c r="V64" s="6"/>
      <c r="W64" s="6"/>
      <c r="X64" s="6"/>
      <c r="Y64" s="6"/>
      <c r="Z64" s="6"/>
    </row>
    <row r="65" ht="33.0" customHeight="1">
      <c r="A65" s="65"/>
      <c r="B65" s="124"/>
      <c r="C65" s="157" t="s">
        <v>315</v>
      </c>
      <c r="D65" s="211" t="s">
        <v>316</v>
      </c>
      <c r="E65" s="209"/>
      <c r="F65" s="210"/>
      <c r="G65" s="6"/>
      <c r="H65" s="6"/>
      <c r="I65" s="6"/>
      <c r="J65" s="6"/>
      <c r="K65" s="6"/>
      <c r="L65" s="6"/>
      <c r="M65" s="6"/>
      <c r="N65" s="6"/>
      <c r="O65" s="6"/>
      <c r="P65" s="6"/>
      <c r="Q65" s="6"/>
      <c r="R65" s="6"/>
      <c r="S65" s="6"/>
      <c r="T65" s="6"/>
      <c r="U65" s="6"/>
      <c r="V65" s="6"/>
      <c r="W65" s="6"/>
      <c r="X65" s="6"/>
      <c r="Y65" s="6"/>
      <c r="Z65" s="6"/>
    </row>
    <row r="66" ht="40.5" customHeight="1">
      <c r="A66" s="117"/>
      <c r="B66" s="132"/>
      <c r="C66" s="212" t="s">
        <v>317</v>
      </c>
      <c r="D66" s="213" t="s">
        <v>318</v>
      </c>
      <c r="E66" s="72"/>
      <c r="F66" s="214"/>
      <c r="G66" s="6"/>
      <c r="H66" s="6"/>
      <c r="I66" s="6"/>
      <c r="J66" s="6"/>
      <c r="K66" s="6"/>
      <c r="L66" s="6"/>
      <c r="M66" s="6"/>
      <c r="N66" s="6"/>
      <c r="O66" s="6"/>
      <c r="P66" s="6"/>
      <c r="Q66" s="6"/>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9">
    <mergeCell ref="A1:E1"/>
    <mergeCell ref="C5:F5"/>
    <mergeCell ref="C6:F6"/>
    <mergeCell ref="C7:F7"/>
    <mergeCell ref="C8:F8"/>
    <mergeCell ref="C9:F9"/>
    <mergeCell ref="C10:F10"/>
    <mergeCell ref="C11:F11"/>
    <mergeCell ref="B50:B55"/>
    <mergeCell ref="C50:C51"/>
    <mergeCell ref="D50:F50"/>
    <mergeCell ref="D51:F51"/>
    <mergeCell ref="C52:C54"/>
    <mergeCell ref="D52:F52"/>
    <mergeCell ref="D53:F53"/>
    <mergeCell ref="A56:A59"/>
    <mergeCell ref="B56:B59"/>
    <mergeCell ref="A60:A66"/>
    <mergeCell ref="B60:B66"/>
    <mergeCell ref="A11:A33"/>
    <mergeCell ref="B11:B33"/>
    <mergeCell ref="A34:A41"/>
    <mergeCell ref="B34:B41"/>
    <mergeCell ref="A42:A49"/>
    <mergeCell ref="B42:B49"/>
    <mergeCell ref="A50:A55"/>
    <mergeCell ref="D61:F61"/>
    <mergeCell ref="D62:F62"/>
    <mergeCell ref="E63:F63"/>
    <mergeCell ref="D64:F64"/>
    <mergeCell ref="D65:F65"/>
    <mergeCell ref="D66:F66"/>
    <mergeCell ref="D54:F54"/>
    <mergeCell ref="D55:F55"/>
    <mergeCell ref="D56:F56"/>
    <mergeCell ref="D57:F57"/>
    <mergeCell ref="D58:F58"/>
    <mergeCell ref="D59:F59"/>
    <mergeCell ref="D60:F60"/>
  </mergeCells>
  <dataValidations>
    <dataValidation type="list" allowBlank="1" showErrorMessage="1" sqref="D14:D15">
      <formula1>"Level 1: Basic,Level 2: Intermediate,Level 3: Advanced,Level 4: Expert"</formula1>
    </dataValidation>
    <dataValidation type="list" allowBlank="1" showErrorMessage="1" sqref="E14:E18">
      <formula1>"Primary,Secondary"</formula1>
    </dataValidation>
    <dataValidation type="list" allowBlank="1" showErrorMessage="1" sqref="D16:D18">
      <formula1>"Level 1: Basic,Level 2: Intermediate,Level 4: Advanced,Level 5: Expert"</formula1>
    </dataValidation>
    <dataValidation type="list" allowBlank="1" showErrorMessage="1" sqref="E32:E33">
      <formula1>"--- Chọn Bloom Level ---,B1 – Remember,B2 – Understand,B3 – Apply,B4 – Analyze,B5 – Evaluate,B6 – Create"</formula1>
    </dataValidation>
    <dataValidation type="list" allowBlank="1" showErrorMessage="1" sqref="F32:F33">
      <formula1>"Current,Future"</formula1>
    </dataValidation>
  </dataValidations>
  <hyperlinks>
    <hyperlink r:id="rId4" ref="C13"/>
  </hyperlinks>
  <printOptions/>
  <pageMargins bottom="0.75" footer="0.0" header="0.0" left="0.2" right="0.2" top="0.75"/>
  <pageSetup fitToHeight="0" orientation="portrait"/>
  <headerFooter>
    <oddHeader>&amp;L&amp;F</oddHeader>
    <oddFooter>&amp;L26e-BM/HR/HDCV/FSOFT&amp;CInternal Use&amp;R&amp;P</oddFooter>
  </headerFooter>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0"/>
    <col customWidth="1" min="3" max="3" width="14.57"/>
    <col customWidth="1" min="4" max="4" width="43.71"/>
    <col customWidth="1" min="5" max="5" width="21.43"/>
    <col customWidth="1" min="6" max="6" width="23.0"/>
    <col customWidth="1" min="7" max="7" width="8.71"/>
    <col customWidth="1" min="8" max="8" width="18.14"/>
    <col customWidth="1" min="9" max="9" width="8.57"/>
    <col customWidth="1" min="10" max="10" width="29.29"/>
    <col customWidth="1" min="11" max="11" width="52.0"/>
    <col customWidth="1" min="12" max="26" width="8.71"/>
  </cols>
  <sheetData>
    <row r="1" ht="18.0" customHeight="1">
      <c r="A1" s="16" t="str">
        <f>JavaSpring_Syllabus!C5 &amp; " - Training Schedule"</f>
        <v>JAVA for Dev2-3 - Training Schedule</v>
      </c>
      <c r="B1" s="18"/>
      <c r="C1" s="18"/>
      <c r="D1" s="18"/>
      <c r="E1" s="18"/>
      <c r="F1" s="18"/>
      <c r="G1" s="18"/>
      <c r="H1" s="18"/>
      <c r="I1" s="18"/>
      <c r="J1" s="18"/>
      <c r="K1" s="22"/>
    </row>
    <row r="2" ht="25.5" customHeight="1">
      <c r="A2" s="25" t="s">
        <v>5</v>
      </c>
      <c r="B2" s="22"/>
      <c r="C2" s="27" t="s">
        <v>7</v>
      </c>
      <c r="D2" s="27" t="s">
        <v>9</v>
      </c>
      <c r="E2" s="30" t="s">
        <v>10</v>
      </c>
      <c r="F2" s="32" t="s">
        <v>11</v>
      </c>
      <c r="G2" s="27" t="s">
        <v>12</v>
      </c>
      <c r="H2" s="33" t="s">
        <v>13</v>
      </c>
      <c r="I2" s="27" t="s">
        <v>16</v>
      </c>
      <c r="J2" s="27" t="s">
        <v>17</v>
      </c>
      <c r="K2" s="27" t="s">
        <v>18</v>
      </c>
    </row>
    <row r="3" ht="76.5" customHeight="1">
      <c r="A3" s="35" t="s">
        <v>19</v>
      </c>
      <c r="B3" s="36" t="s">
        <v>20</v>
      </c>
      <c r="C3" s="35" t="s">
        <v>22</v>
      </c>
      <c r="D3" s="38" t="s">
        <v>24</v>
      </c>
      <c r="E3" s="39" t="s">
        <v>25</v>
      </c>
      <c r="F3" s="40" t="s">
        <v>29</v>
      </c>
      <c r="G3" s="42">
        <v>120.0</v>
      </c>
      <c r="H3" s="44"/>
      <c r="I3" s="45" t="s">
        <v>30</v>
      </c>
      <c r="J3" s="47">
        <v>46252.0</v>
      </c>
      <c r="K3" s="49" t="s">
        <v>33</v>
      </c>
      <c r="L3" s="50"/>
      <c r="M3" s="50"/>
      <c r="N3" s="50"/>
      <c r="O3" s="50"/>
      <c r="P3" s="50"/>
      <c r="Q3" s="50"/>
      <c r="R3" s="50"/>
      <c r="S3" s="50"/>
      <c r="T3" s="50"/>
      <c r="U3" s="50"/>
      <c r="V3" s="50"/>
      <c r="W3" s="50"/>
      <c r="X3" s="50"/>
      <c r="Y3" s="50"/>
      <c r="Z3" s="50"/>
    </row>
    <row r="4" ht="12.75" customHeight="1">
      <c r="A4" s="53"/>
      <c r="B4" s="53"/>
      <c r="C4" s="55"/>
      <c r="D4" s="38" t="s">
        <v>35</v>
      </c>
      <c r="E4" s="39" t="s">
        <v>25</v>
      </c>
      <c r="F4" s="40" t="s">
        <v>36</v>
      </c>
      <c r="G4" s="42">
        <v>30.0</v>
      </c>
      <c r="H4" s="44"/>
      <c r="I4" s="45" t="s">
        <v>30</v>
      </c>
      <c r="J4" s="47">
        <v>46252.0</v>
      </c>
      <c r="K4" s="49" t="s">
        <v>38</v>
      </c>
      <c r="L4" s="50"/>
      <c r="M4" s="50"/>
      <c r="N4" s="50"/>
      <c r="O4" s="50"/>
      <c r="P4" s="50"/>
      <c r="Q4" s="50"/>
      <c r="R4" s="50"/>
      <c r="S4" s="50"/>
      <c r="T4" s="50"/>
      <c r="U4" s="50"/>
      <c r="V4" s="50"/>
      <c r="W4" s="50"/>
      <c r="X4" s="50"/>
      <c r="Y4" s="50"/>
      <c r="Z4" s="50"/>
    </row>
    <row r="5" ht="63.75" customHeight="1">
      <c r="A5" s="53"/>
      <c r="B5" s="53"/>
      <c r="C5" s="35" t="s">
        <v>41</v>
      </c>
      <c r="D5" s="38" t="s">
        <v>42</v>
      </c>
      <c r="E5" s="39" t="s">
        <v>25</v>
      </c>
      <c r="F5" s="40" t="s">
        <v>29</v>
      </c>
      <c r="G5" s="42">
        <v>120.0</v>
      </c>
      <c r="H5" s="44"/>
      <c r="I5" s="45" t="s">
        <v>30</v>
      </c>
      <c r="J5" s="47">
        <v>46253.0</v>
      </c>
      <c r="K5" s="49" t="s">
        <v>43</v>
      </c>
      <c r="L5" s="50"/>
      <c r="M5" s="50"/>
      <c r="N5" s="50"/>
      <c r="O5" s="50"/>
      <c r="P5" s="50"/>
      <c r="Q5" s="50"/>
      <c r="R5" s="50"/>
      <c r="S5" s="50"/>
      <c r="T5" s="50"/>
      <c r="U5" s="50"/>
      <c r="V5" s="50"/>
      <c r="W5" s="50"/>
      <c r="X5" s="50"/>
      <c r="Y5" s="50"/>
      <c r="Z5" s="50"/>
    </row>
    <row r="6" ht="12.75" customHeight="1">
      <c r="A6" s="53"/>
      <c r="B6" s="53"/>
      <c r="C6" s="55"/>
      <c r="D6" s="38" t="s">
        <v>49</v>
      </c>
      <c r="E6" s="39" t="s">
        <v>25</v>
      </c>
      <c r="F6" s="40" t="s">
        <v>49</v>
      </c>
      <c r="G6" s="42">
        <v>30.0</v>
      </c>
      <c r="H6" s="44" t="s">
        <v>50</v>
      </c>
      <c r="I6" s="45" t="s">
        <v>51</v>
      </c>
      <c r="J6" s="47">
        <v>46255.0</v>
      </c>
      <c r="K6" s="49"/>
      <c r="L6" s="50"/>
      <c r="M6" s="50"/>
      <c r="N6" s="50"/>
      <c r="O6" s="50"/>
      <c r="P6" s="50"/>
      <c r="Q6" s="50"/>
      <c r="R6" s="50"/>
      <c r="S6" s="50"/>
      <c r="T6" s="50"/>
      <c r="U6" s="50"/>
      <c r="V6" s="50"/>
      <c r="W6" s="50"/>
      <c r="X6" s="50"/>
      <c r="Y6" s="50"/>
      <c r="Z6" s="50"/>
    </row>
    <row r="7" ht="63.75" customHeight="1">
      <c r="A7" s="55"/>
      <c r="B7" s="55"/>
      <c r="C7" s="42" t="s">
        <v>52</v>
      </c>
      <c r="D7" s="69" t="s">
        <v>53</v>
      </c>
      <c r="E7" s="39" t="s">
        <v>25</v>
      </c>
      <c r="F7" s="40" t="s">
        <v>36</v>
      </c>
      <c r="G7" s="42">
        <v>150.0</v>
      </c>
      <c r="H7" s="44"/>
      <c r="I7" s="45" t="s">
        <v>30</v>
      </c>
      <c r="J7" s="47">
        <v>46254.0</v>
      </c>
      <c r="K7" s="49" t="s">
        <v>54</v>
      </c>
      <c r="L7" s="50"/>
      <c r="M7" s="50"/>
      <c r="N7" s="50"/>
      <c r="O7" s="50"/>
      <c r="P7" s="50"/>
      <c r="Q7" s="50"/>
      <c r="R7" s="50"/>
      <c r="S7" s="50"/>
      <c r="T7" s="50"/>
      <c r="U7" s="50"/>
      <c r="V7" s="50"/>
      <c r="W7" s="50"/>
      <c r="X7" s="50"/>
      <c r="Y7" s="50"/>
      <c r="Z7" s="50"/>
    </row>
    <row r="8" ht="76.5" customHeight="1">
      <c r="A8" s="35" t="s">
        <v>56</v>
      </c>
      <c r="B8" s="36" t="s">
        <v>59</v>
      </c>
      <c r="C8" s="35" t="s">
        <v>60</v>
      </c>
      <c r="D8" s="69" t="s">
        <v>62</v>
      </c>
      <c r="E8" s="39" t="s">
        <v>63</v>
      </c>
      <c r="F8" s="40" t="s">
        <v>29</v>
      </c>
      <c r="G8" s="42">
        <v>120.0</v>
      </c>
      <c r="H8" s="44"/>
      <c r="I8" s="45" t="s">
        <v>30</v>
      </c>
      <c r="J8" s="47">
        <v>46255.0</v>
      </c>
      <c r="K8" s="49" t="s">
        <v>67</v>
      </c>
      <c r="L8" s="50"/>
      <c r="M8" s="50"/>
      <c r="N8" s="50"/>
      <c r="O8" s="50"/>
      <c r="P8" s="50"/>
      <c r="Q8" s="50"/>
      <c r="R8" s="50"/>
      <c r="S8" s="50"/>
      <c r="T8" s="50"/>
      <c r="U8" s="50"/>
      <c r="V8" s="50"/>
      <c r="W8" s="50"/>
      <c r="X8" s="50"/>
      <c r="Y8" s="50"/>
      <c r="Z8" s="50"/>
    </row>
    <row r="9" ht="12.75" customHeight="1">
      <c r="A9" s="53"/>
      <c r="B9" s="53"/>
      <c r="C9" s="55"/>
      <c r="D9" s="38" t="s">
        <v>35</v>
      </c>
      <c r="E9" s="39" t="s">
        <v>63</v>
      </c>
      <c r="F9" s="40" t="s">
        <v>36</v>
      </c>
      <c r="G9" s="42">
        <v>30.0</v>
      </c>
      <c r="H9" s="44"/>
      <c r="I9" s="45" t="s">
        <v>30</v>
      </c>
      <c r="J9" s="47">
        <v>46255.0</v>
      </c>
      <c r="K9" s="49" t="s">
        <v>67</v>
      </c>
      <c r="L9" s="50"/>
      <c r="M9" s="50"/>
      <c r="N9" s="50"/>
      <c r="O9" s="50"/>
      <c r="P9" s="50"/>
      <c r="Q9" s="50"/>
      <c r="R9" s="50"/>
      <c r="S9" s="50"/>
      <c r="T9" s="50"/>
      <c r="U9" s="50"/>
      <c r="V9" s="50"/>
      <c r="W9" s="50"/>
      <c r="X9" s="50"/>
      <c r="Y9" s="50"/>
      <c r="Z9" s="50"/>
    </row>
    <row r="10" ht="76.5" customHeight="1">
      <c r="A10" s="53"/>
      <c r="B10" s="53"/>
      <c r="C10" s="35" t="s">
        <v>84</v>
      </c>
      <c r="D10" s="69" t="s">
        <v>85</v>
      </c>
      <c r="E10" s="39" t="s">
        <v>63</v>
      </c>
      <c r="F10" s="40" t="s">
        <v>29</v>
      </c>
      <c r="G10" s="42">
        <v>120.0</v>
      </c>
      <c r="H10" s="44"/>
      <c r="I10" s="45" t="s">
        <v>30</v>
      </c>
      <c r="J10" s="47">
        <v>46258.0</v>
      </c>
      <c r="K10" s="49" t="s">
        <v>87</v>
      </c>
      <c r="L10" s="50"/>
      <c r="M10" s="50"/>
      <c r="N10" s="50"/>
      <c r="O10" s="50"/>
      <c r="P10" s="50"/>
      <c r="Q10" s="50"/>
      <c r="R10" s="50"/>
      <c r="S10" s="50"/>
      <c r="T10" s="50"/>
      <c r="U10" s="50"/>
      <c r="V10" s="50"/>
      <c r="W10" s="50"/>
      <c r="X10" s="50"/>
      <c r="Y10" s="50"/>
      <c r="Z10" s="50"/>
    </row>
    <row r="11" ht="12.75" customHeight="1">
      <c r="A11" s="53"/>
      <c r="B11" s="53"/>
      <c r="C11" s="55"/>
      <c r="D11" s="38" t="s">
        <v>49</v>
      </c>
      <c r="E11" s="39" t="s">
        <v>63</v>
      </c>
      <c r="F11" s="40" t="s">
        <v>49</v>
      </c>
      <c r="G11" s="42">
        <v>30.0</v>
      </c>
      <c r="H11" s="44" t="s">
        <v>50</v>
      </c>
      <c r="I11" s="45" t="s">
        <v>51</v>
      </c>
      <c r="J11" s="47">
        <v>46262.0</v>
      </c>
      <c r="K11" s="49"/>
      <c r="L11" s="50"/>
      <c r="M11" s="50"/>
      <c r="N11" s="50"/>
      <c r="O11" s="50"/>
      <c r="P11" s="50"/>
      <c r="Q11" s="50"/>
      <c r="R11" s="50"/>
      <c r="S11" s="50"/>
      <c r="T11" s="50"/>
      <c r="U11" s="50"/>
      <c r="V11" s="50"/>
      <c r="W11" s="50"/>
      <c r="X11" s="50"/>
      <c r="Y11" s="50"/>
      <c r="Z11" s="50"/>
    </row>
    <row r="12" ht="127.5" customHeight="1">
      <c r="A12" s="55"/>
      <c r="B12" s="55"/>
      <c r="C12" s="42" t="s">
        <v>94</v>
      </c>
      <c r="D12" s="69" t="s">
        <v>95</v>
      </c>
      <c r="E12" s="39" t="s">
        <v>63</v>
      </c>
      <c r="F12" s="40" t="s">
        <v>36</v>
      </c>
      <c r="G12" s="42">
        <v>150.0</v>
      </c>
      <c r="H12" s="44"/>
      <c r="I12" s="45" t="s">
        <v>30</v>
      </c>
      <c r="J12" s="47">
        <v>46259.0</v>
      </c>
      <c r="K12" s="49" t="s">
        <v>97</v>
      </c>
      <c r="L12" s="50"/>
      <c r="M12" s="50"/>
      <c r="N12" s="50"/>
      <c r="O12" s="50"/>
      <c r="P12" s="50"/>
      <c r="Q12" s="50"/>
      <c r="R12" s="50"/>
      <c r="S12" s="50"/>
      <c r="T12" s="50"/>
      <c r="U12" s="50"/>
      <c r="V12" s="50"/>
      <c r="W12" s="50"/>
      <c r="X12" s="50"/>
      <c r="Y12" s="50"/>
      <c r="Z12" s="50"/>
    </row>
    <row r="13" ht="76.5" customHeight="1">
      <c r="A13" s="35" t="s">
        <v>98</v>
      </c>
      <c r="B13" s="36" t="s">
        <v>99</v>
      </c>
      <c r="C13" s="35" t="s">
        <v>100</v>
      </c>
      <c r="D13" s="69" t="s">
        <v>101</v>
      </c>
      <c r="E13" s="39" t="s">
        <v>102</v>
      </c>
      <c r="F13" s="40" t="s">
        <v>29</v>
      </c>
      <c r="G13" s="42">
        <v>120.0</v>
      </c>
      <c r="H13" s="44"/>
      <c r="I13" s="45" t="s">
        <v>30</v>
      </c>
      <c r="J13" s="47">
        <v>46260.0</v>
      </c>
      <c r="K13" s="49" t="s">
        <v>104</v>
      </c>
      <c r="L13" s="50"/>
      <c r="M13" s="50"/>
      <c r="N13" s="50"/>
      <c r="O13" s="50"/>
      <c r="P13" s="50"/>
      <c r="Q13" s="50"/>
      <c r="R13" s="50"/>
      <c r="S13" s="50"/>
      <c r="T13" s="50"/>
      <c r="U13" s="50"/>
      <c r="V13" s="50"/>
      <c r="W13" s="50"/>
      <c r="X13" s="50"/>
      <c r="Y13" s="50"/>
      <c r="Z13" s="50"/>
    </row>
    <row r="14" ht="12.75" customHeight="1">
      <c r="A14" s="53"/>
      <c r="B14" s="53"/>
      <c r="C14" s="55"/>
      <c r="D14" s="38" t="s">
        <v>35</v>
      </c>
      <c r="E14" s="39" t="s">
        <v>102</v>
      </c>
      <c r="F14" s="40" t="s">
        <v>36</v>
      </c>
      <c r="G14" s="42">
        <v>30.0</v>
      </c>
      <c r="H14" s="44"/>
      <c r="I14" s="45" t="s">
        <v>30</v>
      </c>
      <c r="J14" s="47">
        <v>46260.0</v>
      </c>
      <c r="K14" s="49" t="s">
        <v>105</v>
      </c>
      <c r="L14" s="50"/>
      <c r="M14" s="50"/>
      <c r="N14" s="50"/>
      <c r="O14" s="50"/>
      <c r="P14" s="50"/>
      <c r="Q14" s="50"/>
      <c r="R14" s="50"/>
      <c r="S14" s="50"/>
      <c r="T14" s="50"/>
      <c r="U14" s="50"/>
      <c r="V14" s="50"/>
      <c r="W14" s="50"/>
      <c r="X14" s="50"/>
      <c r="Y14" s="50"/>
      <c r="Z14" s="50"/>
    </row>
    <row r="15" ht="76.5" customHeight="1">
      <c r="A15" s="53"/>
      <c r="B15" s="53"/>
      <c r="C15" s="35" t="s">
        <v>106</v>
      </c>
      <c r="D15" s="38" t="s">
        <v>107</v>
      </c>
      <c r="E15" s="39" t="s">
        <v>102</v>
      </c>
      <c r="F15" s="40" t="s">
        <v>29</v>
      </c>
      <c r="G15" s="42">
        <v>120.0</v>
      </c>
      <c r="H15" s="44"/>
      <c r="I15" s="45" t="s">
        <v>30</v>
      </c>
      <c r="J15" s="47">
        <v>46261.0</v>
      </c>
      <c r="K15" s="49" t="s">
        <v>108</v>
      </c>
      <c r="L15" s="50"/>
      <c r="M15" s="50"/>
      <c r="N15" s="50"/>
      <c r="O15" s="50"/>
      <c r="P15" s="50"/>
      <c r="Q15" s="50"/>
      <c r="R15" s="50"/>
      <c r="S15" s="50"/>
      <c r="T15" s="50"/>
      <c r="U15" s="50"/>
      <c r="V15" s="50"/>
      <c r="W15" s="50"/>
      <c r="X15" s="50"/>
      <c r="Y15" s="50"/>
      <c r="Z15" s="50"/>
    </row>
    <row r="16" ht="12.75" customHeight="1">
      <c r="A16" s="53"/>
      <c r="B16" s="53"/>
      <c r="C16" s="55"/>
      <c r="D16" s="38" t="s">
        <v>49</v>
      </c>
      <c r="E16" s="39" t="s">
        <v>102</v>
      </c>
      <c r="F16" s="40" t="s">
        <v>49</v>
      </c>
      <c r="G16" s="42">
        <v>30.0</v>
      </c>
      <c r="H16" s="44" t="s">
        <v>50</v>
      </c>
      <c r="I16" s="45" t="s">
        <v>51</v>
      </c>
      <c r="J16" s="47">
        <v>46262.0</v>
      </c>
      <c r="K16" s="49"/>
      <c r="L16" s="50"/>
      <c r="M16" s="50"/>
      <c r="N16" s="50"/>
      <c r="O16" s="50"/>
      <c r="P16" s="50"/>
      <c r="Q16" s="50"/>
      <c r="R16" s="50"/>
      <c r="S16" s="50"/>
      <c r="T16" s="50"/>
      <c r="U16" s="50"/>
      <c r="V16" s="50"/>
      <c r="W16" s="50"/>
      <c r="X16" s="50"/>
      <c r="Y16" s="50"/>
      <c r="Z16" s="50"/>
    </row>
    <row r="17" ht="140.25" customHeight="1">
      <c r="A17" s="55"/>
      <c r="B17" s="55"/>
      <c r="C17" s="42" t="s">
        <v>109</v>
      </c>
      <c r="D17" s="69" t="s">
        <v>110</v>
      </c>
      <c r="E17" s="39" t="s">
        <v>102</v>
      </c>
      <c r="F17" s="40" t="s">
        <v>36</v>
      </c>
      <c r="G17" s="42">
        <v>150.0</v>
      </c>
      <c r="H17" s="44"/>
      <c r="I17" s="45" t="s">
        <v>30</v>
      </c>
      <c r="J17" s="47">
        <v>46262.0</v>
      </c>
      <c r="K17" s="49" t="s">
        <v>113</v>
      </c>
      <c r="L17" s="50"/>
      <c r="M17" s="50"/>
      <c r="N17" s="50"/>
      <c r="O17" s="50"/>
      <c r="P17" s="50"/>
      <c r="Q17" s="50"/>
      <c r="R17" s="50"/>
      <c r="S17" s="50"/>
      <c r="T17" s="50"/>
      <c r="U17" s="50"/>
      <c r="V17" s="50"/>
      <c r="W17" s="50"/>
      <c r="X17" s="50"/>
      <c r="Y17" s="50"/>
      <c r="Z17" s="50"/>
    </row>
    <row r="18" ht="76.5" customHeight="1">
      <c r="A18" s="35" t="s">
        <v>116</v>
      </c>
      <c r="B18" s="36" t="s">
        <v>117</v>
      </c>
      <c r="C18" s="35" t="s">
        <v>118</v>
      </c>
      <c r="D18" s="38" t="s">
        <v>119</v>
      </c>
      <c r="E18" s="39" t="s">
        <v>120</v>
      </c>
      <c r="F18" s="40" t="s">
        <v>29</v>
      </c>
      <c r="G18" s="42">
        <v>120.0</v>
      </c>
      <c r="H18" s="44"/>
      <c r="I18" s="45" t="s">
        <v>30</v>
      </c>
      <c r="J18" s="47">
        <v>46268.0</v>
      </c>
      <c r="K18" s="49" t="s">
        <v>122</v>
      </c>
      <c r="L18" s="50"/>
      <c r="M18" s="50"/>
      <c r="N18" s="50"/>
      <c r="O18" s="50"/>
      <c r="P18" s="50"/>
      <c r="Q18" s="50"/>
      <c r="R18" s="50"/>
      <c r="S18" s="50"/>
      <c r="T18" s="50"/>
      <c r="U18" s="50"/>
      <c r="V18" s="50"/>
      <c r="W18" s="50"/>
      <c r="X18" s="50"/>
      <c r="Y18" s="50"/>
      <c r="Z18" s="50"/>
    </row>
    <row r="19" ht="12.75" customHeight="1">
      <c r="A19" s="53"/>
      <c r="B19" s="53"/>
      <c r="C19" s="55"/>
      <c r="D19" s="38" t="s">
        <v>35</v>
      </c>
      <c r="E19" s="39" t="s">
        <v>120</v>
      </c>
      <c r="F19" s="40" t="s">
        <v>36</v>
      </c>
      <c r="G19" s="42">
        <v>30.0</v>
      </c>
      <c r="H19" s="44"/>
      <c r="I19" s="45" t="s">
        <v>30</v>
      </c>
      <c r="J19" s="47">
        <v>46268.0</v>
      </c>
      <c r="K19" s="49" t="s">
        <v>125</v>
      </c>
      <c r="L19" s="50"/>
      <c r="M19" s="50"/>
      <c r="N19" s="50"/>
      <c r="O19" s="50"/>
      <c r="P19" s="50"/>
      <c r="Q19" s="50"/>
      <c r="R19" s="50"/>
      <c r="S19" s="50"/>
      <c r="T19" s="50"/>
      <c r="U19" s="50"/>
      <c r="V19" s="50"/>
      <c r="W19" s="50"/>
      <c r="X19" s="50"/>
      <c r="Y19" s="50"/>
      <c r="Z19" s="50"/>
    </row>
    <row r="20" ht="76.5" customHeight="1">
      <c r="A20" s="53"/>
      <c r="B20" s="53"/>
      <c r="C20" s="35" t="s">
        <v>128</v>
      </c>
      <c r="D20" s="38" t="s">
        <v>129</v>
      </c>
      <c r="E20" s="39" t="s">
        <v>120</v>
      </c>
      <c r="F20" s="40" t="s">
        <v>29</v>
      </c>
      <c r="G20" s="42">
        <v>120.0</v>
      </c>
      <c r="H20" s="44"/>
      <c r="I20" s="45" t="s">
        <v>30</v>
      </c>
      <c r="J20" s="47">
        <v>46269.0</v>
      </c>
      <c r="K20" s="49" t="s">
        <v>131</v>
      </c>
      <c r="L20" s="50"/>
      <c r="M20" s="50"/>
      <c r="N20" s="50"/>
      <c r="O20" s="50"/>
      <c r="P20" s="50"/>
      <c r="Q20" s="50"/>
      <c r="R20" s="50"/>
      <c r="S20" s="50"/>
      <c r="T20" s="50"/>
      <c r="U20" s="50"/>
      <c r="V20" s="50"/>
      <c r="W20" s="50"/>
      <c r="X20" s="50"/>
      <c r="Y20" s="50"/>
      <c r="Z20" s="50"/>
    </row>
    <row r="21" ht="12.75" customHeight="1">
      <c r="A21" s="53"/>
      <c r="B21" s="53"/>
      <c r="C21" s="55"/>
      <c r="D21" s="38" t="s">
        <v>49</v>
      </c>
      <c r="E21" s="39" t="s">
        <v>120</v>
      </c>
      <c r="F21" s="40" t="s">
        <v>49</v>
      </c>
      <c r="G21" s="42">
        <v>30.0</v>
      </c>
      <c r="H21" s="44" t="s">
        <v>50</v>
      </c>
      <c r="I21" s="45" t="s">
        <v>51</v>
      </c>
      <c r="J21" s="47">
        <v>46276.0</v>
      </c>
      <c r="K21" s="49"/>
      <c r="L21" s="50"/>
      <c r="M21" s="50"/>
      <c r="N21" s="50"/>
      <c r="O21" s="50"/>
      <c r="P21" s="50"/>
      <c r="Q21" s="50"/>
      <c r="R21" s="50"/>
      <c r="S21" s="50"/>
      <c r="T21" s="50"/>
      <c r="U21" s="50"/>
      <c r="V21" s="50"/>
      <c r="W21" s="50"/>
      <c r="X21" s="50"/>
      <c r="Y21" s="50"/>
      <c r="Z21" s="50"/>
    </row>
    <row r="22" ht="102.0" customHeight="1">
      <c r="A22" s="55"/>
      <c r="B22" s="55"/>
      <c r="C22" s="42" t="s">
        <v>134</v>
      </c>
      <c r="D22" s="69" t="s">
        <v>135</v>
      </c>
      <c r="E22" s="39" t="s">
        <v>120</v>
      </c>
      <c r="F22" s="40" t="s">
        <v>36</v>
      </c>
      <c r="G22" s="42">
        <v>150.0</v>
      </c>
      <c r="H22" s="44"/>
      <c r="I22" s="45" t="s">
        <v>30</v>
      </c>
      <c r="J22" s="47">
        <v>46272.0</v>
      </c>
      <c r="K22" s="49" t="s">
        <v>136</v>
      </c>
      <c r="L22" s="50"/>
      <c r="M22" s="50"/>
      <c r="N22" s="50"/>
      <c r="O22" s="50"/>
      <c r="P22" s="50"/>
      <c r="Q22" s="50"/>
      <c r="R22" s="50"/>
      <c r="S22" s="50"/>
      <c r="T22" s="50"/>
      <c r="U22" s="50"/>
      <c r="V22" s="50"/>
      <c r="W22" s="50"/>
      <c r="X22" s="50"/>
      <c r="Y22" s="50"/>
      <c r="Z22" s="50"/>
    </row>
    <row r="23" ht="76.5" customHeight="1">
      <c r="A23" s="35" t="s">
        <v>137</v>
      </c>
      <c r="B23" s="36" t="s">
        <v>138</v>
      </c>
      <c r="C23" s="35" t="s">
        <v>141</v>
      </c>
      <c r="D23" s="38" t="s">
        <v>142</v>
      </c>
      <c r="E23" s="39" t="s">
        <v>139</v>
      </c>
      <c r="F23" s="40" t="s">
        <v>29</v>
      </c>
      <c r="G23" s="42">
        <v>120.0</v>
      </c>
      <c r="H23" s="44"/>
      <c r="I23" s="45" t="s">
        <v>30</v>
      </c>
      <c r="J23" s="47">
        <v>46273.0</v>
      </c>
      <c r="K23" s="49" t="s">
        <v>143</v>
      </c>
      <c r="L23" s="50"/>
      <c r="M23" s="50"/>
      <c r="N23" s="50"/>
      <c r="O23" s="50"/>
      <c r="P23" s="50"/>
      <c r="Q23" s="50"/>
      <c r="R23" s="50"/>
      <c r="S23" s="50"/>
      <c r="T23" s="50"/>
      <c r="U23" s="50"/>
      <c r="V23" s="50"/>
      <c r="W23" s="50"/>
      <c r="X23" s="50"/>
      <c r="Y23" s="50"/>
      <c r="Z23" s="50"/>
    </row>
    <row r="24" ht="12.75" customHeight="1">
      <c r="A24" s="53"/>
      <c r="B24" s="53"/>
      <c r="C24" s="55"/>
      <c r="D24" s="38" t="s">
        <v>35</v>
      </c>
      <c r="E24" s="39" t="s">
        <v>139</v>
      </c>
      <c r="F24" s="40" t="s">
        <v>36</v>
      </c>
      <c r="G24" s="42">
        <v>30.0</v>
      </c>
      <c r="H24" s="44"/>
      <c r="I24" s="45" t="s">
        <v>30</v>
      </c>
      <c r="J24" s="47">
        <v>46273.0</v>
      </c>
      <c r="K24" s="49" t="s">
        <v>143</v>
      </c>
      <c r="L24" s="50"/>
      <c r="M24" s="50"/>
      <c r="N24" s="50"/>
      <c r="O24" s="50"/>
      <c r="P24" s="50"/>
      <c r="Q24" s="50"/>
      <c r="R24" s="50"/>
      <c r="S24" s="50"/>
      <c r="T24" s="50"/>
      <c r="U24" s="50"/>
      <c r="V24" s="50"/>
      <c r="W24" s="50"/>
      <c r="X24" s="50"/>
      <c r="Y24" s="50"/>
      <c r="Z24" s="50"/>
    </row>
    <row r="25" ht="76.5" customHeight="1">
      <c r="A25" s="53"/>
      <c r="B25" s="53"/>
      <c r="C25" s="35" t="s">
        <v>148</v>
      </c>
      <c r="D25" s="38" t="s">
        <v>149</v>
      </c>
      <c r="E25" s="39" t="s">
        <v>139</v>
      </c>
      <c r="F25" s="40" t="s">
        <v>29</v>
      </c>
      <c r="G25" s="42">
        <v>120.0</v>
      </c>
      <c r="H25" s="44"/>
      <c r="I25" s="45" t="s">
        <v>30</v>
      </c>
      <c r="J25" s="47">
        <v>46274.0</v>
      </c>
      <c r="K25" s="49" t="s">
        <v>152</v>
      </c>
      <c r="L25" s="50"/>
      <c r="M25" s="50"/>
      <c r="N25" s="50"/>
      <c r="O25" s="50"/>
      <c r="P25" s="50"/>
      <c r="Q25" s="50"/>
      <c r="R25" s="50"/>
      <c r="S25" s="50"/>
      <c r="T25" s="50"/>
      <c r="U25" s="50"/>
      <c r="V25" s="50"/>
      <c r="W25" s="50"/>
      <c r="X25" s="50"/>
      <c r="Y25" s="50"/>
      <c r="Z25" s="50"/>
    </row>
    <row r="26" ht="12.75" customHeight="1">
      <c r="A26" s="53"/>
      <c r="B26" s="53"/>
      <c r="C26" s="55"/>
      <c r="D26" s="38" t="s">
        <v>49</v>
      </c>
      <c r="E26" s="39" t="s">
        <v>139</v>
      </c>
      <c r="F26" s="40" t="s">
        <v>49</v>
      </c>
      <c r="G26" s="42">
        <v>30.0</v>
      </c>
      <c r="H26" s="44" t="s">
        <v>50</v>
      </c>
      <c r="I26" s="45" t="s">
        <v>51</v>
      </c>
      <c r="J26" s="47">
        <v>46276.0</v>
      </c>
      <c r="K26" s="49"/>
      <c r="L26" s="50"/>
      <c r="M26" s="50"/>
      <c r="N26" s="50"/>
      <c r="O26" s="50"/>
      <c r="P26" s="50"/>
      <c r="Q26" s="50"/>
      <c r="R26" s="50"/>
      <c r="S26" s="50"/>
      <c r="T26" s="50"/>
      <c r="U26" s="50"/>
      <c r="V26" s="50"/>
      <c r="W26" s="50"/>
      <c r="X26" s="50"/>
      <c r="Y26" s="50"/>
      <c r="Z26" s="50"/>
    </row>
    <row r="27" ht="114.75" customHeight="1">
      <c r="A27" s="55"/>
      <c r="B27" s="55"/>
      <c r="C27" s="42" t="s">
        <v>155</v>
      </c>
      <c r="D27" s="69" t="s">
        <v>156</v>
      </c>
      <c r="E27" s="39" t="s">
        <v>139</v>
      </c>
      <c r="F27" s="40" t="s">
        <v>36</v>
      </c>
      <c r="G27" s="42">
        <v>150.0</v>
      </c>
      <c r="H27" s="44"/>
      <c r="I27" s="45" t="s">
        <v>30</v>
      </c>
      <c r="J27" s="47">
        <v>46275.0</v>
      </c>
      <c r="K27" s="49" t="s">
        <v>160</v>
      </c>
      <c r="L27" s="50"/>
      <c r="M27" s="50"/>
      <c r="N27" s="50"/>
      <c r="O27" s="50"/>
      <c r="P27" s="50"/>
      <c r="Q27" s="50"/>
      <c r="R27" s="50"/>
      <c r="S27" s="50"/>
      <c r="T27" s="50"/>
      <c r="U27" s="50"/>
      <c r="V27" s="50"/>
      <c r="W27" s="50"/>
      <c r="X27" s="50"/>
      <c r="Y27" s="50"/>
      <c r="Z27" s="50"/>
    </row>
    <row r="28" ht="76.5" customHeight="1">
      <c r="A28" s="35" t="s">
        <v>161</v>
      </c>
      <c r="B28" s="36" t="s">
        <v>163</v>
      </c>
      <c r="C28" s="35" t="s">
        <v>165</v>
      </c>
      <c r="D28" s="38" t="s">
        <v>166</v>
      </c>
      <c r="E28" s="39" t="s">
        <v>144</v>
      </c>
      <c r="F28" s="40" t="s">
        <v>29</v>
      </c>
      <c r="G28" s="42">
        <v>120.0</v>
      </c>
      <c r="H28" s="44"/>
      <c r="I28" s="45" t="s">
        <v>30</v>
      </c>
      <c r="J28" s="47">
        <v>46276.0</v>
      </c>
      <c r="K28" s="49" t="s">
        <v>167</v>
      </c>
      <c r="L28" s="50"/>
      <c r="M28" s="50"/>
      <c r="N28" s="50"/>
      <c r="O28" s="50"/>
      <c r="P28" s="50"/>
      <c r="Q28" s="50"/>
      <c r="R28" s="50"/>
      <c r="S28" s="50"/>
      <c r="T28" s="50"/>
      <c r="U28" s="50"/>
      <c r="V28" s="50"/>
      <c r="W28" s="50"/>
      <c r="X28" s="50"/>
      <c r="Y28" s="50"/>
      <c r="Z28" s="50"/>
    </row>
    <row r="29" ht="12.75" customHeight="1">
      <c r="A29" s="53"/>
      <c r="B29" s="53"/>
      <c r="C29" s="55"/>
      <c r="D29" s="38" t="s">
        <v>35</v>
      </c>
      <c r="E29" s="39" t="s">
        <v>144</v>
      </c>
      <c r="F29" s="40" t="s">
        <v>36</v>
      </c>
      <c r="G29" s="42">
        <v>30.0</v>
      </c>
      <c r="H29" s="44"/>
      <c r="I29" s="45" t="s">
        <v>30</v>
      </c>
      <c r="J29" s="47">
        <v>46276.0</v>
      </c>
      <c r="K29" s="49" t="s">
        <v>167</v>
      </c>
      <c r="L29" s="50"/>
      <c r="M29" s="50"/>
      <c r="N29" s="50"/>
      <c r="O29" s="50"/>
      <c r="P29" s="50"/>
      <c r="Q29" s="50"/>
      <c r="R29" s="50"/>
      <c r="S29" s="50"/>
      <c r="T29" s="50"/>
      <c r="U29" s="50"/>
      <c r="V29" s="50"/>
      <c r="W29" s="50"/>
      <c r="X29" s="50"/>
      <c r="Y29" s="50"/>
      <c r="Z29" s="50"/>
    </row>
    <row r="30" ht="76.5" customHeight="1">
      <c r="A30" s="53"/>
      <c r="B30" s="53"/>
      <c r="C30" s="35" t="s">
        <v>170</v>
      </c>
      <c r="D30" s="38" t="s">
        <v>171</v>
      </c>
      <c r="E30" s="39" t="s">
        <v>144</v>
      </c>
      <c r="F30" s="40" t="s">
        <v>29</v>
      </c>
      <c r="G30" s="42">
        <v>120.0</v>
      </c>
      <c r="H30" s="44"/>
      <c r="I30" s="45" t="s">
        <v>30</v>
      </c>
      <c r="J30" s="47">
        <v>46279.0</v>
      </c>
      <c r="K30" s="49" t="s">
        <v>172</v>
      </c>
      <c r="L30" s="50"/>
      <c r="M30" s="50"/>
      <c r="N30" s="50"/>
      <c r="O30" s="50"/>
      <c r="P30" s="50"/>
      <c r="Q30" s="50"/>
      <c r="R30" s="50"/>
      <c r="S30" s="50"/>
      <c r="T30" s="50"/>
      <c r="U30" s="50"/>
      <c r="V30" s="50"/>
      <c r="W30" s="50"/>
      <c r="X30" s="50"/>
      <c r="Y30" s="50"/>
      <c r="Z30" s="50"/>
    </row>
    <row r="31" ht="12.75" customHeight="1">
      <c r="A31" s="53"/>
      <c r="B31" s="53"/>
      <c r="C31" s="55"/>
      <c r="D31" s="38" t="s">
        <v>49</v>
      </c>
      <c r="E31" s="39" t="s">
        <v>144</v>
      </c>
      <c r="F31" s="40" t="s">
        <v>49</v>
      </c>
      <c r="G31" s="42">
        <v>30.0</v>
      </c>
      <c r="H31" s="44" t="s">
        <v>50</v>
      </c>
      <c r="I31" s="45" t="s">
        <v>51</v>
      </c>
      <c r="J31" s="47">
        <v>46283.0</v>
      </c>
      <c r="K31" s="49"/>
      <c r="L31" s="50"/>
      <c r="M31" s="50"/>
      <c r="N31" s="50"/>
      <c r="O31" s="50"/>
      <c r="P31" s="50"/>
      <c r="Q31" s="50"/>
      <c r="R31" s="50"/>
      <c r="S31" s="50"/>
      <c r="T31" s="50"/>
      <c r="U31" s="50"/>
      <c r="V31" s="50"/>
      <c r="W31" s="50"/>
      <c r="X31" s="50"/>
      <c r="Y31" s="50"/>
      <c r="Z31" s="50"/>
    </row>
    <row r="32" ht="102.0" customHeight="1">
      <c r="A32" s="55"/>
      <c r="B32" s="55"/>
      <c r="C32" s="42" t="s">
        <v>173</v>
      </c>
      <c r="D32" s="69" t="s">
        <v>174</v>
      </c>
      <c r="E32" s="39" t="s">
        <v>144</v>
      </c>
      <c r="F32" s="40" t="s">
        <v>36</v>
      </c>
      <c r="G32" s="42">
        <v>150.0</v>
      </c>
      <c r="H32" s="44"/>
      <c r="I32" s="45" t="s">
        <v>30</v>
      </c>
      <c r="J32" s="47">
        <v>46280.0</v>
      </c>
      <c r="K32" s="49" t="s">
        <v>175</v>
      </c>
      <c r="L32" s="50"/>
      <c r="M32" s="50"/>
      <c r="N32" s="50"/>
      <c r="O32" s="50"/>
      <c r="P32" s="50"/>
      <c r="Q32" s="50"/>
      <c r="R32" s="50"/>
      <c r="S32" s="50"/>
      <c r="T32" s="50"/>
      <c r="U32" s="50"/>
      <c r="V32" s="50"/>
      <c r="W32" s="50"/>
      <c r="X32" s="50"/>
      <c r="Y32" s="50"/>
      <c r="Z32" s="50"/>
    </row>
    <row r="33" ht="76.5" customHeight="1">
      <c r="A33" s="35" t="s">
        <v>176</v>
      </c>
      <c r="B33" s="36" t="s">
        <v>177</v>
      </c>
      <c r="C33" s="35" t="s">
        <v>178</v>
      </c>
      <c r="D33" s="38" t="s">
        <v>179</v>
      </c>
      <c r="E33" s="39" t="s">
        <v>146</v>
      </c>
      <c r="F33" s="40" t="s">
        <v>29</v>
      </c>
      <c r="G33" s="42">
        <v>120.0</v>
      </c>
      <c r="H33" s="44"/>
      <c r="I33" s="45" t="s">
        <v>30</v>
      </c>
      <c r="J33" s="47">
        <v>46281.0</v>
      </c>
      <c r="K33" s="49" t="s">
        <v>180</v>
      </c>
      <c r="L33" s="50"/>
      <c r="M33" s="50"/>
      <c r="N33" s="50"/>
      <c r="O33" s="50"/>
      <c r="P33" s="50"/>
      <c r="Q33" s="50"/>
      <c r="R33" s="50"/>
      <c r="S33" s="50"/>
      <c r="T33" s="50"/>
      <c r="U33" s="50"/>
      <c r="V33" s="50"/>
      <c r="W33" s="50"/>
      <c r="X33" s="50"/>
      <c r="Y33" s="50"/>
      <c r="Z33" s="50"/>
    </row>
    <row r="34" ht="12.75" customHeight="1">
      <c r="A34" s="53"/>
      <c r="B34" s="53"/>
      <c r="C34" s="55"/>
      <c r="D34" s="38" t="s">
        <v>35</v>
      </c>
      <c r="E34" s="39" t="s">
        <v>146</v>
      </c>
      <c r="F34" s="40" t="s">
        <v>36</v>
      </c>
      <c r="G34" s="42">
        <v>30.0</v>
      </c>
      <c r="H34" s="44"/>
      <c r="I34" s="45" t="s">
        <v>30</v>
      </c>
      <c r="J34" s="47">
        <v>46281.0</v>
      </c>
      <c r="K34" s="49" t="s">
        <v>182</v>
      </c>
      <c r="L34" s="50"/>
      <c r="M34" s="50"/>
      <c r="N34" s="50"/>
      <c r="O34" s="50"/>
      <c r="P34" s="50"/>
      <c r="Q34" s="50"/>
      <c r="R34" s="50"/>
      <c r="S34" s="50"/>
      <c r="T34" s="50"/>
      <c r="U34" s="50"/>
      <c r="V34" s="50"/>
      <c r="W34" s="50"/>
      <c r="X34" s="50"/>
      <c r="Y34" s="50"/>
      <c r="Z34" s="50"/>
    </row>
    <row r="35" ht="76.5" customHeight="1">
      <c r="A35" s="53"/>
      <c r="B35" s="53"/>
      <c r="C35" s="35" t="s">
        <v>184</v>
      </c>
      <c r="D35" s="38" t="s">
        <v>185</v>
      </c>
      <c r="E35" s="39" t="s">
        <v>146</v>
      </c>
      <c r="F35" s="40" t="s">
        <v>29</v>
      </c>
      <c r="G35" s="42">
        <v>120.0</v>
      </c>
      <c r="H35" s="44"/>
      <c r="I35" s="45" t="s">
        <v>30</v>
      </c>
      <c r="J35" s="47">
        <v>46282.0</v>
      </c>
      <c r="K35" s="49" t="s">
        <v>186</v>
      </c>
      <c r="L35" s="50"/>
      <c r="M35" s="50"/>
      <c r="N35" s="50"/>
      <c r="O35" s="50"/>
      <c r="P35" s="50"/>
      <c r="Q35" s="50"/>
      <c r="R35" s="50"/>
      <c r="S35" s="50"/>
      <c r="T35" s="50"/>
      <c r="U35" s="50"/>
      <c r="V35" s="50"/>
      <c r="W35" s="50"/>
      <c r="X35" s="50"/>
      <c r="Y35" s="50"/>
      <c r="Z35" s="50"/>
    </row>
    <row r="36" ht="12.75" customHeight="1">
      <c r="A36" s="53"/>
      <c r="B36" s="53"/>
      <c r="C36" s="55"/>
      <c r="D36" s="38" t="s">
        <v>49</v>
      </c>
      <c r="E36" s="39" t="s">
        <v>146</v>
      </c>
      <c r="F36" s="40" t="s">
        <v>49</v>
      </c>
      <c r="G36" s="42">
        <v>30.0</v>
      </c>
      <c r="H36" s="44" t="s">
        <v>50</v>
      </c>
      <c r="I36" s="45" t="s">
        <v>51</v>
      </c>
      <c r="J36" s="47">
        <v>46283.0</v>
      </c>
      <c r="K36" s="49"/>
      <c r="L36" s="50"/>
      <c r="M36" s="50"/>
      <c r="N36" s="50"/>
      <c r="O36" s="50"/>
      <c r="P36" s="50"/>
      <c r="Q36" s="50"/>
      <c r="R36" s="50"/>
      <c r="S36" s="50"/>
      <c r="T36" s="50"/>
      <c r="U36" s="50"/>
      <c r="V36" s="50"/>
      <c r="W36" s="50"/>
      <c r="X36" s="50"/>
      <c r="Y36" s="50"/>
      <c r="Z36" s="50"/>
    </row>
    <row r="37" ht="114.75" customHeight="1">
      <c r="A37" s="55"/>
      <c r="B37" s="55"/>
      <c r="C37" s="42" t="s">
        <v>188</v>
      </c>
      <c r="D37" s="69" t="s">
        <v>189</v>
      </c>
      <c r="E37" s="39" t="s">
        <v>146</v>
      </c>
      <c r="F37" s="40" t="s">
        <v>36</v>
      </c>
      <c r="G37" s="42">
        <v>150.0</v>
      </c>
      <c r="H37" s="44"/>
      <c r="I37" s="45" t="s">
        <v>30</v>
      </c>
      <c r="J37" s="47">
        <v>46283.0</v>
      </c>
      <c r="K37" s="49" t="s">
        <v>190</v>
      </c>
      <c r="L37" s="50"/>
      <c r="M37" s="50"/>
      <c r="N37" s="50"/>
      <c r="O37" s="50"/>
      <c r="P37" s="50"/>
      <c r="Q37" s="50"/>
      <c r="R37" s="50"/>
      <c r="S37" s="50"/>
      <c r="T37" s="50"/>
      <c r="U37" s="50"/>
      <c r="V37" s="50"/>
      <c r="W37" s="50"/>
      <c r="X37" s="50"/>
      <c r="Y37" s="50"/>
      <c r="Z37" s="50"/>
    </row>
    <row r="38" ht="76.5" customHeight="1">
      <c r="A38" s="35" t="s">
        <v>191</v>
      </c>
      <c r="B38" s="36" t="s">
        <v>193</v>
      </c>
      <c r="C38" s="35" t="s">
        <v>194</v>
      </c>
      <c r="D38" s="38" t="s">
        <v>195</v>
      </c>
      <c r="E38" s="39" t="s">
        <v>150</v>
      </c>
      <c r="F38" s="40" t="s">
        <v>29</v>
      </c>
      <c r="G38" s="42">
        <v>120.0</v>
      </c>
      <c r="H38" s="44"/>
      <c r="I38" s="45" t="s">
        <v>30</v>
      </c>
      <c r="J38" s="47">
        <v>46286.0</v>
      </c>
      <c r="K38" s="49" t="s">
        <v>196</v>
      </c>
      <c r="L38" s="50"/>
      <c r="M38" s="50"/>
      <c r="N38" s="50"/>
      <c r="O38" s="50"/>
      <c r="P38" s="50"/>
      <c r="Q38" s="50"/>
      <c r="R38" s="50"/>
      <c r="S38" s="50"/>
      <c r="T38" s="50"/>
      <c r="U38" s="50"/>
      <c r="V38" s="50"/>
      <c r="W38" s="50"/>
      <c r="X38" s="50"/>
      <c r="Y38" s="50"/>
      <c r="Z38" s="50"/>
    </row>
    <row r="39" ht="12.75" customHeight="1">
      <c r="A39" s="53"/>
      <c r="B39" s="53"/>
      <c r="C39" s="55"/>
      <c r="D39" s="38" t="s">
        <v>35</v>
      </c>
      <c r="E39" s="39" t="s">
        <v>150</v>
      </c>
      <c r="F39" s="40" t="s">
        <v>36</v>
      </c>
      <c r="G39" s="42">
        <v>30.0</v>
      </c>
      <c r="H39" s="44"/>
      <c r="I39" s="45" t="s">
        <v>30</v>
      </c>
      <c r="J39" s="47">
        <v>46286.0</v>
      </c>
      <c r="K39" s="49" t="s">
        <v>196</v>
      </c>
      <c r="L39" s="50"/>
      <c r="M39" s="50"/>
      <c r="N39" s="50"/>
      <c r="O39" s="50"/>
      <c r="P39" s="50"/>
      <c r="Q39" s="50"/>
      <c r="R39" s="50"/>
      <c r="S39" s="50"/>
      <c r="T39" s="50"/>
      <c r="U39" s="50"/>
      <c r="V39" s="50"/>
      <c r="W39" s="50"/>
      <c r="X39" s="50"/>
      <c r="Y39" s="50"/>
      <c r="Z39" s="50"/>
    </row>
    <row r="40" ht="76.5" customHeight="1">
      <c r="A40" s="53"/>
      <c r="B40" s="53"/>
      <c r="C40" s="35" t="s">
        <v>198</v>
      </c>
      <c r="D40" s="38" t="s">
        <v>199</v>
      </c>
      <c r="E40" s="39" t="s">
        <v>150</v>
      </c>
      <c r="F40" s="40" t="s">
        <v>29</v>
      </c>
      <c r="G40" s="42">
        <v>120.0</v>
      </c>
      <c r="H40" s="44"/>
      <c r="I40" s="45" t="s">
        <v>30</v>
      </c>
      <c r="J40" s="47">
        <v>46287.0</v>
      </c>
      <c r="K40" s="49" t="s">
        <v>200</v>
      </c>
      <c r="L40" s="50"/>
      <c r="M40" s="50"/>
      <c r="N40" s="50"/>
      <c r="O40" s="50"/>
      <c r="P40" s="50"/>
      <c r="Q40" s="50"/>
      <c r="R40" s="50"/>
      <c r="S40" s="50"/>
      <c r="T40" s="50"/>
      <c r="U40" s="50"/>
      <c r="V40" s="50"/>
      <c r="W40" s="50"/>
      <c r="X40" s="50"/>
      <c r="Y40" s="50"/>
      <c r="Z40" s="50"/>
    </row>
    <row r="41" ht="12.75" customHeight="1">
      <c r="A41" s="53"/>
      <c r="B41" s="53"/>
      <c r="C41" s="55"/>
      <c r="D41" s="38" t="s">
        <v>49</v>
      </c>
      <c r="E41" s="39" t="s">
        <v>150</v>
      </c>
      <c r="F41" s="40" t="s">
        <v>49</v>
      </c>
      <c r="G41" s="42">
        <v>30.0</v>
      </c>
      <c r="H41" s="44" t="s">
        <v>50</v>
      </c>
      <c r="I41" s="45" t="s">
        <v>51</v>
      </c>
      <c r="J41" s="47">
        <v>46290.0</v>
      </c>
      <c r="K41" s="49"/>
      <c r="L41" s="50"/>
      <c r="M41" s="50"/>
      <c r="N41" s="50"/>
      <c r="O41" s="50"/>
      <c r="P41" s="50"/>
      <c r="Q41" s="50"/>
      <c r="R41" s="50"/>
      <c r="S41" s="50"/>
      <c r="T41" s="50"/>
      <c r="U41" s="50"/>
      <c r="V41" s="50"/>
      <c r="W41" s="50"/>
      <c r="X41" s="50"/>
      <c r="Y41" s="50"/>
      <c r="Z41" s="50"/>
    </row>
    <row r="42" ht="102.0" customHeight="1">
      <c r="A42" s="55"/>
      <c r="B42" s="55"/>
      <c r="C42" s="42" t="s">
        <v>201</v>
      </c>
      <c r="D42" s="69" t="s">
        <v>202</v>
      </c>
      <c r="E42" s="39" t="s">
        <v>150</v>
      </c>
      <c r="F42" s="40" t="s">
        <v>36</v>
      </c>
      <c r="G42" s="42">
        <v>150.0</v>
      </c>
      <c r="H42" s="44"/>
      <c r="I42" s="45" t="s">
        <v>30</v>
      </c>
      <c r="J42" s="47">
        <v>46288.0</v>
      </c>
      <c r="K42" s="49" t="s">
        <v>203</v>
      </c>
      <c r="L42" s="50"/>
      <c r="M42" s="50"/>
      <c r="N42" s="50"/>
      <c r="O42" s="50"/>
      <c r="P42" s="50"/>
      <c r="Q42" s="50"/>
      <c r="R42" s="50"/>
      <c r="S42" s="50"/>
      <c r="T42" s="50"/>
      <c r="U42" s="50"/>
      <c r="V42" s="50"/>
      <c r="W42" s="50"/>
      <c r="X42" s="50"/>
      <c r="Y42" s="50"/>
      <c r="Z42" s="50"/>
    </row>
    <row r="43" ht="76.5" customHeight="1">
      <c r="A43" s="35" t="s">
        <v>204</v>
      </c>
      <c r="B43" s="36" t="s">
        <v>205</v>
      </c>
      <c r="C43" s="35" t="s">
        <v>206</v>
      </c>
      <c r="D43" s="38" t="s">
        <v>207</v>
      </c>
      <c r="E43" s="134" t="s">
        <v>153</v>
      </c>
      <c r="F43" s="40" t="s">
        <v>29</v>
      </c>
      <c r="G43" s="42">
        <v>120.0</v>
      </c>
      <c r="H43" s="44"/>
      <c r="I43" s="45" t="s">
        <v>30</v>
      </c>
      <c r="J43" s="47">
        <v>46289.0</v>
      </c>
      <c r="K43" s="49" t="s">
        <v>209</v>
      </c>
      <c r="L43" s="50"/>
      <c r="M43" s="50"/>
      <c r="N43" s="50"/>
      <c r="O43" s="50"/>
      <c r="P43" s="50"/>
      <c r="Q43" s="50"/>
      <c r="R43" s="50"/>
      <c r="S43" s="50"/>
      <c r="T43" s="50"/>
      <c r="U43" s="50"/>
      <c r="V43" s="50"/>
      <c r="W43" s="50"/>
      <c r="X43" s="50"/>
      <c r="Y43" s="50"/>
      <c r="Z43" s="50"/>
    </row>
    <row r="44" ht="14.25" customHeight="1">
      <c r="A44" s="53"/>
      <c r="B44" s="53"/>
      <c r="C44" s="55"/>
      <c r="D44" s="38" t="s">
        <v>35</v>
      </c>
      <c r="E44" s="134" t="s">
        <v>153</v>
      </c>
      <c r="F44" s="40" t="s">
        <v>36</v>
      </c>
      <c r="G44" s="42">
        <v>30.0</v>
      </c>
      <c r="H44" s="44"/>
      <c r="I44" s="45" t="s">
        <v>30</v>
      </c>
      <c r="J44" s="47">
        <v>46289.0</v>
      </c>
      <c r="K44" s="49" t="s">
        <v>211</v>
      </c>
      <c r="L44" s="50"/>
      <c r="M44" s="50"/>
      <c r="N44" s="50"/>
      <c r="O44" s="50"/>
      <c r="P44" s="50"/>
      <c r="Q44" s="50"/>
      <c r="R44" s="50"/>
      <c r="S44" s="50"/>
      <c r="T44" s="50"/>
      <c r="U44" s="50"/>
      <c r="V44" s="50"/>
      <c r="W44" s="50"/>
      <c r="X44" s="50"/>
      <c r="Y44" s="50"/>
      <c r="Z44" s="50"/>
    </row>
    <row r="45" ht="76.5" customHeight="1">
      <c r="A45" s="53"/>
      <c r="B45" s="53"/>
      <c r="C45" s="35" t="s">
        <v>212</v>
      </c>
      <c r="D45" s="69" t="s">
        <v>214</v>
      </c>
      <c r="E45" s="134" t="s">
        <v>153</v>
      </c>
      <c r="F45" s="40" t="s">
        <v>29</v>
      </c>
      <c r="G45" s="42">
        <v>120.0</v>
      </c>
      <c r="H45" s="44"/>
      <c r="I45" s="45" t="s">
        <v>30</v>
      </c>
      <c r="J45" s="47">
        <v>46290.0</v>
      </c>
      <c r="K45" s="49" t="s">
        <v>216</v>
      </c>
      <c r="L45" s="50"/>
      <c r="M45" s="50"/>
      <c r="N45" s="50"/>
      <c r="O45" s="50"/>
      <c r="P45" s="50"/>
      <c r="Q45" s="50"/>
      <c r="R45" s="50"/>
      <c r="S45" s="50"/>
      <c r="T45" s="50"/>
      <c r="U45" s="50"/>
      <c r="V45" s="50"/>
      <c r="W45" s="50"/>
      <c r="X45" s="50"/>
      <c r="Y45" s="50"/>
      <c r="Z45" s="50"/>
    </row>
    <row r="46" ht="14.25" customHeight="1">
      <c r="A46" s="53"/>
      <c r="B46" s="53"/>
      <c r="C46" s="55"/>
      <c r="D46" s="38" t="s">
        <v>49</v>
      </c>
      <c r="E46" s="134" t="s">
        <v>153</v>
      </c>
      <c r="F46" s="40" t="s">
        <v>49</v>
      </c>
      <c r="G46" s="42">
        <v>30.0</v>
      </c>
      <c r="H46" s="44" t="s">
        <v>50</v>
      </c>
      <c r="I46" s="45" t="s">
        <v>51</v>
      </c>
      <c r="J46" s="47">
        <v>46290.0</v>
      </c>
      <c r="K46" s="49"/>
      <c r="L46" s="50"/>
      <c r="M46" s="50"/>
      <c r="N46" s="50"/>
      <c r="O46" s="50"/>
      <c r="P46" s="50"/>
      <c r="Q46" s="50"/>
      <c r="R46" s="50"/>
      <c r="S46" s="50"/>
      <c r="T46" s="50"/>
      <c r="U46" s="50"/>
      <c r="V46" s="50"/>
      <c r="W46" s="50"/>
      <c r="X46" s="50"/>
      <c r="Y46" s="50"/>
      <c r="Z46" s="50"/>
    </row>
    <row r="47" ht="127.5" customHeight="1">
      <c r="A47" s="55"/>
      <c r="B47" s="55"/>
      <c r="C47" s="42" t="s">
        <v>218</v>
      </c>
      <c r="D47" s="69" t="s">
        <v>219</v>
      </c>
      <c r="E47" s="39" t="s">
        <v>153</v>
      </c>
      <c r="F47" s="40" t="s">
        <v>36</v>
      </c>
      <c r="G47" s="42">
        <v>150.0</v>
      </c>
      <c r="H47" s="44"/>
      <c r="I47" s="45" t="s">
        <v>30</v>
      </c>
      <c r="J47" s="47">
        <v>46293.0</v>
      </c>
      <c r="K47" s="49" t="s">
        <v>220</v>
      </c>
      <c r="L47" s="50"/>
      <c r="M47" s="50"/>
      <c r="N47" s="50"/>
      <c r="O47" s="50"/>
      <c r="P47" s="50"/>
      <c r="Q47" s="50"/>
      <c r="R47" s="50"/>
      <c r="S47" s="50"/>
      <c r="T47" s="50"/>
      <c r="U47" s="50"/>
      <c r="V47" s="50"/>
      <c r="W47" s="50"/>
      <c r="X47" s="50"/>
      <c r="Y47" s="50"/>
      <c r="Z47" s="50"/>
    </row>
    <row r="48" ht="76.5" customHeight="1">
      <c r="A48" s="35" t="s">
        <v>222</v>
      </c>
      <c r="B48" s="36" t="s">
        <v>224</v>
      </c>
      <c r="C48" s="35" t="s">
        <v>225</v>
      </c>
      <c r="D48" s="38" t="s">
        <v>226</v>
      </c>
      <c r="E48" s="134" t="s">
        <v>157</v>
      </c>
      <c r="F48" s="40" t="s">
        <v>29</v>
      </c>
      <c r="G48" s="42">
        <v>120.0</v>
      </c>
      <c r="H48" s="44"/>
      <c r="I48" s="45" t="s">
        <v>30</v>
      </c>
      <c r="J48" s="47">
        <v>46294.0</v>
      </c>
      <c r="K48" s="49" t="s">
        <v>228</v>
      </c>
      <c r="L48" s="50"/>
      <c r="M48" s="50"/>
      <c r="N48" s="50"/>
      <c r="O48" s="50"/>
      <c r="P48" s="50"/>
      <c r="Q48" s="50"/>
      <c r="R48" s="50"/>
      <c r="S48" s="50"/>
      <c r="T48" s="50"/>
      <c r="U48" s="50"/>
      <c r="V48" s="50"/>
      <c r="W48" s="50"/>
      <c r="X48" s="50"/>
      <c r="Y48" s="50"/>
      <c r="Z48" s="50"/>
    </row>
    <row r="49" ht="14.25" customHeight="1">
      <c r="A49" s="53"/>
      <c r="B49" s="53"/>
      <c r="C49" s="55"/>
      <c r="D49" s="38" t="s">
        <v>35</v>
      </c>
      <c r="E49" s="134" t="s">
        <v>157</v>
      </c>
      <c r="F49" s="40" t="s">
        <v>36</v>
      </c>
      <c r="G49" s="42">
        <v>30.0</v>
      </c>
      <c r="H49" s="44"/>
      <c r="I49" s="45" t="s">
        <v>30</v>
      </c>
      <c r="J49" s="47">
        <v>46294.0</v>
      </c>
      <c r="K49" s="49" t="s">
        <v>234</v>
      </c>
      <c r="L49" s="50"/>
      <c r="M49" s="50"/>
      <c r="N49" s="50"/>
      <c r="O49" s="50"/>
      <c r="P49" s="50"/>
      <c r="Q49" s="50"/>
      <c r="R49" s="50"/>
      <c r="S49" s="50"/>
      <c r="T49" s="50"/>
      <c r="U49" s="50"/>
      <c r="V49" s="50"/>
      <c r="W49" s="50"/>
      <c r="X49" s="50"/>
      <c r="Y49" s="50"/>
      <c r="Z49" s="50"/>
    </row>
    <row r="50" ht="89.25" customHeight="1">
      <c r="A50" s="53"/>
      <c r="B50" s="53"/>
      <c r="C50" s="35" t="s">
        <v>238</v>
      </c>
      <c r="D50" s="38" t="s">
        <v>241</v>
      </c>
      <c r="E50" s="134" t="s">
        <v>157</v>
      </c>
      <c r="F50" s="40" t="s">
        <v>29</v>
      </c>
      <c r="G50" s="42">
        <v>120.0</v>
      </c>
      <c r="H50" s="44"/>
      <c r="I50" s="45" t="s">
        <v>30</v>
      </c>
      <c r="J50" s="47">
        <v>46295.0</v>
      </c>
      <c r="K50" s="49" t="s">
        <v>242</v>
      </c>
      <c r="L50" s="50"/>
      <c r="M50" s="50"/>
      <c r="N50" s="50"/>
      <c r="O50" s="50"/>
      <c r="P50" s="50"/>
      <c r="Q50" s="50"/>
      <c r="R50" s="50"/>
      <c r="S50" s="50"/>
      <c r="T50" s="50"/>
      <c r="U50" s="50"/>
      <c r="V50" s="50"/>
      <c r="W50" s="50"/>
      <c r="X50" s="50"/>
      <c r="Y50" s="50"/>
      <c r="Z50" s="50"/>
    </row>
    <row r="51" ht="14.25" customHeight="1">
      <c r="A51" s="53"/>
      <c r="B51" s="53"/>
      <c r="C51" s="55"/>
      <c r="D51" s="38" t="s">
        <v>49</v>
      </c>
      <c r="E51" s="134" t="s">
        <v>157</v>
      </c>
      <c r="F51" s="40" t="s">
        <v>49</v>
      </c>
      <c r="G51" s="42">
        <v>30.0</v>
      </c>
      <c r="H51" s="44" t="s">
        <v>50</v>
      </c>
      <c r="I51" s="45" t="s">
        <v>51</v>
      </c>
      <c r="J51" s="47">
        <v>46297.0</v>
      </c>
      <c r="K51" s="49"/>
      <c r="L51" s="50"/>
      <c r="M51" s="50"/>
      <c r="N51" s="50"/>
      <c r="O51" s="50"/>
      <c r="P51" s="50"/>
      <c r="Q51" s="50"/>
      <c r="R51" s="50"/>
      <c r="S51" s="50"/>
      <c r="T51" s="50"/>
      <c r="U51" s="50"/>
      <c r="V51" s="50"/>
      <c r="W51" s="50"/>
      <c r="X51" s="50"/>
      <c r="Y51" s="50"/>
      <c r="Z51" s="50"/>
    </row>
    <row r="52" ht="140.25" customHeight="1">
      <c r="A52" s="55"/>
      <c r="B52" s="55"/>
      <c r="C52" s="42" t="s">
        <v>244</v>
      </c>
      <c r="D52" s="69" t="s">
        <v>245</v>
      </c>
      <c r="E52" s="134" t="s">
        <v>157</v>
      </c>
      <c r="F52" s="40" t="s">
        <v>36</v>
      </c>
      <c r="G52" s="42">
        <v>150.0</v>
      </c>
      <c r="H52" s="44"/>
      <c r="I52" s="45" t="s">
        <v>30</v>
      </c>
      <c r="J52" s="47">
        <v>46296.0</v>
      </c>
      <c r="K52" s="49" t="s">
        <v>246</v>
      </c>
      <c r="L52" s="50"/>
      <c r="M52" s="50"/>
      <c r="N52" s="50"/>
      <c r="O52" s="50"/>
      <c r="P52" s="50"/>
      <c r="Q52" s="50"/>
      <c r="R52" s="50"/>
      <c r="S52" s="50"/>
      <c r="T52" s="50"/>
      <c r="U52" s="50"/>
      <c r="V52" s="50"/>
      <c r="W52" s="50"/>
      <c r="X52" s="50"/>
      <c r="Y52" s="50"/>
      <c r="Z52" s="50"/>
    </row>
    <row r="53" ht="38.25" customHeight="1">
      <c r="A53" s="35" t="s">
        <v>247</v>
      </c>
      <c r="B53" s="36" t="s">
        <v>248</v>
      </c>
      <c r="C53" s="42" t="s">
        <v>249</v>
      </c>
      <c r="D53" s="38" t="s">
        <v>250</v>
      </c>
      <c r="E53" s="45" t="s">
        <v>162</v>
      </c>
      <c r="F53" s="40" t="s">
        <v>227</v>
      </c>
      <c r="G53" s="42">
        <v>150.0</v>
      </c>
      <c r="H53" s="44"/>
      <c r="I53" s="45" t="s">
        <v>30</v>
      </c>
      <c r="J53" s="47">
        <v>46297.0</v>
      </c>
      <c r="K53" s="49" t="s">
        <v>251</v>
      </c>
      <c r="L53" s="50"/>
      <c r="M53" s="50"/>
      <c r="N53" s="50"/>
      <c r="O53" s="50"/>
      <c r="P53" s="50"/>
      <c r="Q53" s="50"/>
      <c r="R53" s="50"/>
      <c r="S53" s="50"/>
      <c r="T53" s="50"/>
      <c r="U53" s="50"/>
      <c r="V53" s="50"/>
      <c r="W53" s="50"/>
      <c r="X53" s="50"/>
      <c r="Y53" s="50"/>
      <c r="Z53" s="50"/>
    </row>
    <row r="54" ht="51.0" customHeight="1">
      <c r="A54" s="53"/>
      <c r="B54" s="53"/>
      <c r="C54" s="42" t="s">
        <v>252</v>
      </c>
      <c r="D54" s="38" t="s">
        <v>253</v>
      </c>
      <c r="E54" s="45" t="s">
        <v>162</v>
      </c>
      <c r="F54" s="40" t="s">
        <v>36</v>
      </c>
      <c r="G54" s="42">
        <v>150.0</v>
      </c>
      <c r="H54" s="44"/>
      <c r="I54" s="45" t="s">
        <v>30</v>
      </c>
      <c r="J54" s="47">
        <v>46300.0</v>
      </c>
      <c r="K54" s="49" t="s">
        <v>254</v>
      </c>
      <c r="L54" s="50"/>
      <c r="M54" s="50"/>
      <c r="N54" s="50"/>
      <c r="O54" s="50"/>
      <c r="P54" s="50"/>
      <c r="Q54" s="50"/>
      <c r="R54" s="50"/>
      <c r="S54" s="50"/>
      <c r="T54" s="50"/>
      <c r="U54" s="50"/>
      <c r="V54" s="50"/>
      <c r="W54" s="50"/>
      <c r="X54" s="50"/>
      <c r="Y54" s="50"/>
      <c r="Z54" s="50"/>
    </row>
    <row r="55" ht="89.25" customHeight="1">
      <c r="A55" s="53"/>
      <c r="B55" s="53"/>
      <c r="C55" s="35" t="s">
        <v>255</v>
      </c>
      <c r="D55" s="69" t="s">
        <v>256</v>
      </c>
      <c r="E55" s="45" t="s">
        <v>257</v>
      </c>
      <c r="F55" s="40" t="s">
        <v>36</v>
      </c>
      <c r="G55" s="42">
        <v>150.0</v>
      </c>
      <c r="H55" s="44"/>
      <c r="I55" s="45" t="s">
        <v>30</v>
      </c>
      <c r="J55" s="47">
        <v>46301.0</v>
      </c>
      <c r="K55" s="49" t="s">
        <v>258</v>
      </c>
      <c r="L55" s="50"/>
      <c r="M55" s="50"/>
      <c r="N55" s="50"/>
      <c r="O55" s="50"/>
      <c r="P55" s="50"/>
      <c r="Q55" s="50"/>
      <c r="R55" s="50"/>
      <c r="S55" s="50"/>
      <c r="T55" s="50"/>
      <c r="U55" s="50"/>
      <c r="V55" s="50"/>
      <c r="W55" s="50"/>
      <c r="X55" s="50"/>
      <c r="Y55" s="50"/>
      <c r="Z55" s="50"/>
    </row>
    <row r="56" ht="63.75" customHeight="1">
      <c r="A56" s="35" t="s">
        <v>259</v>
      </c>
      <c r="B56" s="36" t="s">
        <v>260</v>
      </c>
      <c r="C56" s="42" t="s">
        <v>261</v>
      </c>
      <c r="D56" s="149" t="s">
        <v>262</v>
      </c>
      <c r="E56" s="45" t="s">
        <v>263</v>
      </c>
      <c r="F56" s="40" t="s">
        <v>36</v>
      </c>
      <c r="G56" s="42">
        <v>150.0</v>
      </c>
      <c r="H56" s="44"/>
      <c r="I56" s="45" t="s">
        <v>30</v>
      </c>
      <c r="J56" s="47">
        <v>46302.0</v>
      </c>
      <c r="K56" s="150" t="s">
        <v>264</v>
      </c>
      <c r="L56" s="50"/>
      <c r="M56" s="50"/>
      <c r="N56" s="50"/>
      <c r="O56" s="50"/>
      <c r="P56" s="50"/>
      <c r="Q56" s="50"/>
      <c r="R56" s="50"/>
      <c r="S56" s="50"/>
      <c r="T56" s="50"/>
      <c r="U56" s="50"/>
      <c r="V56" s="50"/>
      <c r="W56" s="50"/>
      <c r="X56" s="50"/>
      <c r="Y56" s="50"/>
      <c r="Z56" s="50"/>
    </row>
    <row r="57" ht="89.25" customHeight="1">
      <c r="A57" s="53"/>
      <c r="B57" s="53"/>
      <c r="C57" s="42" t="s">
        <v>265</v>
      </c>
      <c r="D57" s="151" t="s">
        <v>266</v>
      </c>
      <c r="E57" s="45" t="s">
        <v>267</v>
      </c>
      <c r="F57" s="40" t="s">
        <v>36</v>
      </c>
      <c r="G57" s="42">
        <v>150.0</v>
      </c>
      <c r="H57" s="44"/>
      <c r="I57" s="152" t="s">
        <v>30</v>
      </c>
      <c r="J57" s="47">
        <v>46303.0</v>
      </c>
      <c r="K57" s="49" t="s">
        <v>268</v>
      </c>
      <c r="L57" s="50"/>
      <c r="M57" s="50"/>
      <c r="N57" s="50"/>
      <c r="O57" s="50"/>
      <c r="P57" s="50"/>
      <c r="Q57" s="50"/>
      <c r="R57" s="50"/>
      <c r="S57" s="50"/>
      <c r="T57" s="50"/>
      <c r="U57" s="50"/>
      <c r="V57" s="50"/>
      <c r="W57" s="50"/>
      <c r="X57" s="50"/>
      <c r="Y57" s="50"/>
      <c r="Z57" s="50"/>
    </row>
    <row r="58" ht="12.75" customHeight="1">
      <c r="A58" s="55"/>
      <c r="B58" s="55"/>
      <c r="C58" s="42" t="s">
        <v>269</v>
      </c>
      <c r="D58" s="153" t="s">
        <v>270</v>
      </c>
      <c r="E58" s="45" t="s">
        <v>271</v>
      </c>
      <c r="F58" s="154" t="s">
        <v>235</v>
      </c>
      <c r="G58" s="35">
        <v>150.0</v>
      </c>
      <c r="H58" s="155"/>
      <c r="I58" s="156" t="s">
        <v>30</v>
      </c>
      <c r="J58" s="47">
        <v>46304.0</v>
      </c>
      <c r="K58" s="49" t="s">
        <v>272</v>
      </c>
      <c r="L58" s="50"/>
      <c r="M58" s="50"/>
      <c r="N58" s="50"/>
      <c r="O58" s="50"/>
      <c r="P58" s="50"/>
      <c r="Q58" s="50"/>
      <c r="R58" s="50"/>
      <c r="S58" s="50"/>
      <c r="T58" s="50"/>
      <c r="U58" s="50"/>
      <c r="V58" s="50"/>
      <c r="W58" s="50"/>
      <c r="X58" s="50"/>
      <c r="Y58" s="50"/>
      <c r="Z58" s="50"/>
    </row>
    <row r="59" ht="12.75" customHeight="1">
      <c r="A59" s="35" t="s">
        <v>274</v>
      </c>
      <c r="B59" s="36" t="s">
        <v>275</v>
      </c>
      <c r="C59" s="158" t="s">
        <v>276</v>
      </c>
      <c r="D59" s="159" t="s">
        <v>277</v>
      </c>
      <c r="E59" s="45" t="s">
        <v>278</v>
      </c>
      <c r="F59" s="154" t="s">
        <v>235</v>
      </c>
      <c r="G59" s="35">
        <v>60.0</v>
      </c>
      <c r="H59" s="160"/>
      <c r="I59" s="152" t="s">
        <v>279</v>
      </c>
      <c r="J59" s="47">
        <v>46307.0</v>
      </c>
      <c r="K59" s="49" t="s">
        <v>280</v>
      </c>
      <c r="L59" s="50"/>
      <c r="M59" s="50"/>
      <c r="N59" s="50"/>
      <c r="O59" s="50"/>
      <c r="P59" s="50"/>
      <c r="Q59" s="50"/>
      <c r="R59" s="50"/>
      <c r="S59" s="50"/>
      <c r="T59" s="50"/>
      <c r="U59" s="50"/>
      <c r="V59" s="50"/>
      <c r="W59" s="50"/>
      <c r="X59" s="50"/>
      <c r="Y59" s="50"/>
      <c r="Z59" s="50"/>
    </row>
    <row r="60" ht="12.75" customHeight="1">
      <c r="A60" s="55"/>
      <c r="B60" s="55"/>
      <c r="C60" s="42" t="s">
        <v>282</v>
      </c>
      <c r="D60" s="161" t="s">
        <v>283</v>
      </c>
      <c r="E60" s="45" t="s">
        <v>285</v>
      </c>
      <c r="F60" s="154" t="s">
        <v>235</v>
      </c>
      <c r="G60" s="35">
        <v>300.0</v>
      </c>
      <c r="H60" s="160"/>
      <c r="I60" s="152" t="s">
        <v>279</v>
      </c>
      <c r="J60" s="47">
        <v>46308.0</v>
      </c>
      <c r="K60" s="49"/>
      <c r="L60" s="50"/>
      <c r="M60" s="50"/>
      <c r="N60" s="50"/>
      <c r="O60" s="50"/>
      <c r="P60" s="50"/>
      <c r="Q60" s="50"/>
      <c r="R60" s="50"/>
      <c r="S60" s="50"/>
      <c r="T60" s="50"/>
      <c r="U60" s="50"/>
      <c r="V60" s="50"/>
      <c r="W60" s="50"/>
      <c r="X60" s="50"/>
      <c r="Y60" s="50"/>
      <c r="Z60" s="50"/>
    </row>
    <row r="61" ht="12.75" customHeight="1">
      <c r="A61" s="165" t="s">
        <v>287</v>
      </c>
      <c r="B61" s="166" t="s">
        <v>288</v>
      </c>
      <c r="C61" s="168" t="s">
        <v>291</v>
      </c>
      <c r="D61" s="169" t="s">
        <v>292</v>
      </c>
      <c r="E61" s="45" t="s">
        <v>293</v>
      </c>
      <c r="F61" s="170" t="s">
        <v>36</v>
      </c>
      <c r="G61" s="35">
        <v>1980.0</v>
      </c>
      <c r="H61" s="44"/>
      <c r="I61" s="152" t="s">
        <v>279</v>
      </c>
      <c r="J61" s="152"/>
      <c r="K61" s="44"/>
      <c r="L61" s="50"/>
      <c r="M61" s="50"/>
      <c r="N61" s="50"/>
      <c r="O61" s="50"/>
      <c r="P61" s="50"/>
      <c r="Q61" s="50"/>
      <c r="R61" s="50"/>
      <c r="S61" s="50"/>
      <c r="T61" s="50"/>
      <c r="U61" s="50"/>
      <c r="V61" s="50"/>
      <c r="W61" s="50"/>
      <c r="X61" s="50"/>
      <c r="Y61" s="50"/>
      <c r="Z61" s="50"/>
    </row>
    <row r="62" ht="12.75" customHeight="1">
      <c r="A62" s="55"/>
      <c r="B62" s="55"/>
      <c r="C62" s="55"/>
      <c r="D62" s="169" t="s">
        <v>296</v>
      </c>
      <c r="E62" s="45" t="s">
        <v>271</v>
      </c>
      <c r="F62" s="170" t="s">
        <v>49</v>
      </c>
      <c r="G62" s="35">
        <v>1980.0</v>
      </c>
      <c r="H62" s="44"/>
      <c r="I62" s="45" t="s">
        <v>279</v>
      </c>
      <c r="J62" s="175"/>
      <c r="K62" s="178"/>
      <c r="L62" s="50"/>
      <c r="M62" s="50"/>
      <c r="N62" s="50"/>
      <c r="O62" s="50"/>
      <c r="P62" s="50"/>
      <c r="Q62" s="50"/>
      <c r="R62" s="50"/>
      <c r="S62" s="50"/>
      <c r="T62" s="50"/>
      <c r="U62" s="50"/>
      <c r="V62" s="50"/>
      <c r="W62" s="50"/>
      <c r="X62" s="50"/>
      <c r="Y62" s="50"/>
      <c r="Z62" s="50"/>
    </row>
    <row r="63" ht="12.75" customHeight="1">
      <c r="A63" s="42" t="s">
        <v>299</v>
      </c>
      <c r="B63" s="179" t="s">
        <v>300</v>
      </c>
      <c r="C63" s="180" t="s">
        <v>302</v>
      </c>
      <c r="D63" s="159" t="s">
        <v>303</v>
      </c>
      <c r="E63" s="45" t="s">
        <v>271</v>
      </c>
      <c r="F63" s="181" t="s">
        <v>235</v>
      </c>
      <c r="G63" s="42">
        <v>600.0</v>
      </c>
      <c r="H63" s="183"/>
      <c r="I63" s="45" t="s">
        <v>51</v>
      </c>
      <c r="J63" s="45"/>
      <c r="K63" s="44"/>
      <c r="L63" s="50"/>
      <c r="M63" s="50"/>
      <c r="N63" s="50"/>
      <c r="O63" s="50"/>
      <c r="P63" s="50"/>
      <c r="Q63" s="50"/>
      <c r="R63" s="50"/>
      <c r="S63" s="50"/>
      <c r="T63" s="50"/>
      <c r="U63" s="50"/>
      <c r="V63" s="50"/>
      <c r="W63" s="50"/>
      <c r="X63" s="50"/>
      <c r="Y63" s="50"/>
      <c r="Z63" s="50"/>
    </row>
    <row r="64" ht="12.75" customHeight="1">
      <c r="A64" s="50"/>
      <c r="B64" s="186"/>
      <c r="C64" s="187"/>
      <c r="D64" s="50"/>
      <c r="E64" s="187"/>
      <c r="F64" s="50"/>
      <c r="G64" s="187"/>
      <c r="H64" s="50"/>
      <c r="I64" s="50"/>
      <c r="J64" s="50"/>
      <c r="K64" s="50"/>
      <c r="L64" s="50"/>
      <c r="M64" s="50"/>
      <c r="N64" s="50"/>
      <c r="O64" s="50"/>
      <c r="P64" s="50"/>
      <c r="Q64" s="50"/>
      <c r="R64" s="50"/>
      <c r="S64" s="50"/>
      <c r="T64" s="50"/>
      <c r="U64" s="50"/>
      <c r="V64" s="50"/>
      <c r="W64" s="50"/>
      <c r="X64" s="50"/>
      <c r="Y64" s="50"/>
      <c r="Z64" s="50"/>
    </row>
    <row r="65" ht="12.75" customHeight="1">
      <c r="A65" s="50"/>
      <c r="B65" s="186"/>
      <c r="C65" s="187"/>
      <c r="D65" s="50"/>
      <c r="E65" s="187"/>
      <c r="F65" s="50"/>
      <c r="G65" s="187"/>
      <c r="H65" s="50"/>
      <c r="I65" s="50"/>
      <c r="J65" s="50"/>
      <c r="K65" s="50"/>
      <c r="L65" s="50"/>
      <c r="M65" s="50"/>
      <c r="N65" s="50"/>
      <c r="O65" s="50"/>
      <c r="P65" s="50"/>
      <c r="Q65" s="50"/>
      <c r="R65" s="50"/>
      <c r="S65" s="50"/>
      <c r="T65" s="50"/>
      <c r="U65" s="50"/>
      <c r="V65" s="50"/>
      <c r="W65" s="50"/>
      <c r="X65" s="50"/>
      <c r="Y65" s="50"/>
      <c r="Z65" s="50"/>
    </row>
    <row r="66" ht="12.75" customHeight="1">
      <c r="A66" s="50"/>
      <c r="B66" s="186"/>
      <c r="C66" s="187"/>
      <c r="D66" s="50"/>
      <c r="E66" s="187"/>
      <c r="F66" s="190" t="s">
        <v>210</v>
      </c>
      <c r="G66" s="193">
        <f>SUMIF(F$4:F$58,F66,G$4:G$58)</f>
        <v>0</v>
      </c>
      <c r="H66" s="194">
        <f t="shared" ref="H66:H73" si="1">G66/$G$74</f>
        <v>0</v>
      </c>
      <c r="I66" s="50"/>
      <c r="J66" s="50"/>
      <c r="K66" s="50"/>
      <c r="L66" s="50"/>
      <c r="M66" s="50"/>
      <c r="N66" s="50"/>
      <c r="O66" s="50"/>
      <c r="P66" s="50"/>
      <c r="Q66" s="50"/>
      <c r="R66" s="50"/>
      <c r="S66" s="50"/>
      <c r="T66" s="50"/>
      <c r="U66" s="50"/>
      <c r="V66" s="50"/>
      <c r="W66" s="50"/>
      <c r="X66" s="50"/>
      <c r="Y66" s="50"/>
      <c r="Z66" s="50"/>
    </row>
    <row r="67" ht="12.75" customHeight="1">
      <c r="A67" s="50"/>
      <c r="B67" s="186"/>
      <c r="C67" s="187"/>
      <c r="D67" s="50"/>
      <c r="E67" s="187"/>
      <c r="F67" s="190" t="s">
        <v>29</v>
      </c>
      <c r="G67" s="193">
        <f t="shared" ref="G67:G73" si="2">SUMIF(F$3:F$58,F67,G$3:G$58)</f>
        <v>2400</v>
      </c>
      <c r="H67" s="194">
        <f t="shared" si="1"/>
        <v>0.4444444444</v>
      </c>
      <c r="I67" s="50"/>
      <c r="J67" s="50"/>
      <c r="K67" s="50"/>
      <c r="L67" s="50"/>
      <c r="M67" s="50"/>
      <c r="N67" s="50"/>
      <c r="O67" s="50"/>
      <c r="P67" s="50"/>
      <c r="Q67" s="50"/>
      <c r="R67" s="50"/>
      <c r="S67" s="50"/>
      <c r="T67" s="50"/>
      <c r="U67" s="50"/>
      <c r="V67" s="50"/>
      <c r="W67" s="50"/>
      <c r="X67" s="50"/>
      <c r="Y67" s="50"/>
      <c r="Z67" s="50"/>
    </row>
    <row r="68" ht="12.75" customHeight="1">
      <c r="A68" s="50"/>
      <c r="B68" s="186"/>
      <c r="C68" s="187"/>
      <c r="D68" s="50"/>
      <c r="E68" s="187"/>
      <c r="F68" s="195" t="s">
        <v>221</v>
      </c>
      <c r="G68" s="193">
        <f t="shared" si="2"/>
        <v>0</v>
      </c>
      <c r="H68" s="194">
        <f t="shared" si="1"/>
        <v>0</v>
      </c>
      <c r="I68" s="50"/>
      <c r="J68" s="50"/>
      <c r="K68" s="50"/>
      <c r="L68" s="50"/>
      <c r="M68" s="50"/>
      <c r="N68" s="50"/>
      <c r="O68" s="50"/>
      <c r="P68" s="50"/>
      <c r="Q68" s="50"/>
      <c r="R68" s="50"/>
      <c r="S68" s="50"/>
      <c r="T68" s="50"/>
      <c r="U68" s="50"/>
      <c r="V68" s="50"/>
      <c r="W68" s="50"/>
      <c r="X68" s="50"/>
      <c r="Y68" s="50"/>
      <c r="Z68" s="50"/>
    </row>
    <row r="69" ht="12.75" customHeight="1">
      <c r="A69" s="50"/>
      <c r="B69" s="186"/>
      <c r="C69" s="187"/>
      <c r="D69" s="50"/>
      <c r="E69" s="187"/>
      <c r="F69" s="195" t="s">
        <v>227</v>
      </c>
      <c r="G69" s="193">
        <f t="shared" si="2"/>
        <v>150</v>
      </c>
      <c r="H69" s="194">
        <f t="shared" si="1"/>
        <v>0.02777777778</v>
      </c>
      <c r="I69" s="50"/>
      <c r="J69" s="50"/>
      <c r="K69" s="50"/>
      <c r="L69" s="50"/>
      <c r="M69" s="50"/>
      <c r="N69" s="50"/>
      <c r="O69" s="50"/>
      <c r="P69" s="50"/>
      <c r="Q69" s="50"/>
      <c r="R69" s="50"/>
      <c r="S69" s="50"/>
      <c r="T69" s="50"/>
      <c r="U69" s="50"/>
      <c r="V69" s="50"/>
      <c r="W69" s="50"/>
      <c r="X69" s="50"/>
      <c r="Y69" s="50"/>
      <c r="Z69" s="50"/>
    </row>
    <row r="70" ht="12.75" customHeight="1">
      <c r="A70" s="50"/>
      <c r="B70" s="186"/>
      <c r="C70" s="187"/>
      <c r="D70" s="50"/>
      <c r="E70" s="187"/>
      <c r="F70" s="190" t="s">
        <v>36</v>
      </c>
      <c r="G70" s="193">
        <f t="shared" si="2"/>
        <v>2400</v>
      </c>
      <c r="H70" s="194">
        <f t="shared" si="1"/>
        <v>0.4444444444</v>
      </c>
      <c r="I70" s="50"/>
      <c r="J70" s="50"/>
      <c r="K70" s="50"/>
      <c r="L70" s="50"/>
      <c r="M70" s="50"/>
      <c r="N70" s="50"/>
      <c r="O70" s="50"/>
      <c r="P70" s="50"/>
      <c r="Q70" s="50"/>
      <c r="R70" s="50"/>
      <c r="S70" s="50"/>
      <c r="T70" s="50"/>
      <c r="U70" s="50"/>
      <c r="V70" s="50"/>
      <c r="W70" s="50"/>
      <c r="X70" s="50"/>
      <c r="Y70" s="50"/>
      <c r="Z70" s="50"/>
    </row>
    <row r="71" ht="12.75" customHeight="1">
      <c r="A71" s="50"/>
      <c r="B71" s="186"/>
      <c r="C71" s="187"/>
      <c r="D71" s="50"/>
      <c r="E71" s="187"/>
      <c r="F71" s="190" t="s">
        <v>49</v>
      </c>
      <c r="G71" s="193">
        <f t="shared" si="2"/>
        <v>300</v>
      </c>
      <c r="H71" s="194">
        <f t="shared" si="1"/>
        <v>0.05555555556</v>
      </c>
      <c r="I71" s="50"/>
      <c r="J71" s="50"/>
      <c r="K71" s="50"/>
      <c r="L71" s="50"/>
      <c r="M71" s="50"/>
      <c r="N71" s="50"/>
      <c r="O71" s="50"/>
      <c r="P71" s="50"/>
      <c r="Q71" s="50"/>
      <c r="R71" s="50"/>
      <c r="S71" s="50"/>
      <c r="T71" s="50"/>
      <c r="U71" s="50"/>
      <c r="V71" s="50"/>
      <c r="W71" s="50"/>
      <c r="X71" s="50"/>
      <c r="Y71" s="50"/>
      <c r="Z71" s="50"/>
    </row>
    <row r="72" ht="12.75" customHeight="1">
      <c r="A72" s="50"/>
      <c r="B72" s="186"/>
      <c r="C72" s="187"/>
      <c r="D72" s="50"/>
      <c r="E72" s="187"/>
      <c r="F72" s="196" t="s">
        <v>232</v>
      </c>
      <c r="G72" s="193">
        <f t="shared" si="2"/>
        <v>0</v>
      </c>
      <c r="H72" s="194">
        <f t="shared" si="1"/>
        <v>0</v>
      </c>
      <c r="I72" s="50"/>
      <c r="J72" s="50"/>
      <c r="K72" s="50"/>
      <c r="L72" s="50"/>
      <c r="M72" s="50"/>
      <c r="N72" s="50"/>
      <c r="O72" s="50"/>
      <c r="P72" s="50"/>
      <c r="Q72" s="50"/>
      <c r="R72" s="50"/>
      <c r="S72" s="50"/>
      <c r="T72" s="50"/>
      <c r="U72" s="50"/>
      <c r="V72" s="50"/>
      <c r="W72" s="50"/>
      <c r="X72" s="50"/>
      <c r="Y72" s="50"/>
      <c r="Z72" s="50"/>
    </row>
    <row r="73" ht="12.75" customHeight="1">
      <c r="A73" s="50"/>
      <c r="B73" s="186"/>
      <c r="C73" s="187"/>
      <c r="D73" s="50"/>
      <c r="E73" s="187"/>
      <c r="F73" s="190" t="s">
        <v>235</v>
      </c>
      <c r="G73" s="193">
        <f t="shared" si="2"/>
        <v>150</v>
      </c>
      <c r="H73" s="194">
        <f t="shared" si="1"/>
        <v>0.02777777778</v>
      </c>
      <c r="I73" s="50"/>
      <c r="J73" s="50"/>
      <c r="K73" s="50"/>
      <c r="L73" s="50"/>
      <c r="M73" s="50"/>
      <c r="N73" s="50"/>
      <c r="O73" s="50"/>
      <c r="P73" s="50"/>
      <c r="Q73" s="50"/>
      <c r="R73" s="50"/>
      <c r="S73" s="50"/>
      <c r="T73" s="50"/>
      <c r="U73" s="50"/>
      <c r="V73" s="50"/>
      <c r="W73" s="50"/>
      <c r="X73" s="50"/>
      <c r="Y73" s="50"/>
      <c r="Z73" s="50"/>
    </row>
    <row r="74" ht="12.75" customHeight="1">
      <c r="A74" s="50"/>
      <c r="B74" s="186"/>
      <c r="C74" s="187"/>
      <c r="D74" s="50"/>
      <c r="E74" s="187"/>
      <c r="F74" s="197" t="s">
        <v>313</v>
      </c>
      <c r="G74" s="193">
        <f t="shared" ref="G74:H74" si="3">SUM(G66:G73)</f>
        <v>5400</v>
      </c>
      <c r="H74" s="198">
        <f t="shared" si="3"/>
        <v>1</v>
      </c>
      <c r="I74" s="50"/>
      <c r="J74" s="50"/>
      <c r="K74" s="50"/>
      <c r="L74" s="50"/>
      <c r="M74" s="50"/>
      <c r="N74" s="50"/>
      <c r="O74" s="50"/>
      <c r="P74" s="50"/>
      <c r="Q74" s="50"/>
      <c r="R74" s="50"/>
      <c r="S74" s="50"/>
      <c r="T74" s="50"/>
      <c r="U74" s="50"/>
      <c r="V74" s="50"/>
      <c r="W74" s="50"/>
      <c r="X74" s="50"/>
      <c r="Y74" s="50"/>
      <c r="Z74" s="50"/>
    </row>
    <row r="75" ht="12.75" customHeight="1">
      <c r="A75" s="50"/>
      <c r="B75" s="186"/>
      <c r="C75" s="187"/>
      <c r="D75" s="50"/>
      <c r="E75" s="187"/>
      <c r="F75" s="199" t="s">
        <v>314</v>
      </c>
      <c r="G75" s="200"/>
      <c r="H75" s="200"/>
      <c r="I75" s="50"/>
      <c r="J75" s="50"/>
      <c r="K75" s="50"/>
      <c r="L75" s="50"/>
      <c r="M75" s="50"/>
      <c r="N75" s="50"/>
      <c r="O75" s="50"/>
      <c r="P75" s="50"/>
      <c r="Q75" s="50"/>
      <c r="R75" s="50"/>
      <c r="S75" s="50"/>
      <c r="T75" s="50"/>
      <c r="U75" s="50"/>
      <c r="V75" s="50"/>
      <c r="W75" s="50"/>
      <c r="X75" s="50"/>
      <c r="Y75" s="50"/>
      <c r="Z75" s="50"/>
    </row>
    <row r="76" ht="12.75" customHeight="1">
      <c r="A76" s="50"/>
      <c r="B76" s="186"/>
      <c r="C76" s="187"/>
      <c r="D76" s="50"/>
      <c r="E76" s="187"/>
      <c r="F76" s="196" t="s">
        <v>124</v>
      </c>
      <c r="G76" s="201">
        <f>SUM(G3:G47)</f>
        <v>4050</v>
      </c>
      <c r="H76" s="202">
        <f t="shared" ref="H76:H77" si="4">G76/$G$78</f>
        <v>0.75</v>
      </c>
      <c r="I76" s="50"/>
      <c r="J76" s="50"/>
      <c r="K76" s="50"/>
      <c r="L76" s="50"/>
      <c r="M76" s="50"/>
      <c r="N76" s="50"/>
      <c r="O76" s="50"/>
      <c r="P76" s="50"/>
      <c r="Q76" s="50"/>
      <c r="R76" s="50"/>
      <c r="S76" s="50"/>
      <c r="T76" s="50"/>
      <c r="U76" s="50"/>
      <c r="V76" s="50"/>
      <c r="W76" s="50"/>
      <c r="X76" s="50"/>
      <c r="Y76" s="50"/>
      <c r="Z76" s="50"/>
    </row>
    <row r="77" ht="12.75" customHeight="1">
      <c r="A77" s="50"/>
      <c r="B77" s="186"/>
      <c r="C77" s="187"/>
      <c r="D77" s="50"/>
      <c r="E77" s="187"/>
      <c r="F77" s="196" t="s">
        <v>159</v>
      </c>
      <c r="G77" s="201">
        <f>SUM(G48:G58)</f>
        <v>1350</v>
      </c>
      <c r="H77" s="202">
        <f t="shared" si="4"/>
        <v>0.25</v>
      </c>
      <c r="I77" s="50"/>
      <c r="J77" s="50"/>
      <c r="K77" s="50"/>
      <c r="L77" s="50"/>
      <c r="M77" s="50"/>
      <c r="N77" s="50"/>
      <c r="O77" s="50"/>
      <c r="P77" s="50"/>
      <c r="Q77" s="50"/>
      <c r="R77" s="50"/>
      <c r="S77" s="50"/>
      <c r="T77" s="50"/>
      <c r="U77" s="50"/>
      <c r="V77" s="50"/>
      <c r="W77" s="50"/>
      <c r="X77" s="50"/>
      <c r="Y77" s="50"/>
      <c r="Z77" s="50"/>
    </row>
    <row r="78" ht="12.75" customHeight="1">
      <c r="A78" s="50"/>
      <c r="B78" s="186"/>
      <c r="C78" s="187"/>
      <c r="D78" s="50"/>
      <c r="E78" s="187"/>
      <c r="F78" s="203" t="s">
        <v>313</v>
      </c>
      <c r="G78" s="204">
        <f t="shared" ref="G78:H78" si="5">SUM(G76:G77)</f>
        <v>5400</v>
      </c>
      <c r="H78" s="205">
        <f t="shared" si="5"/>
        <v>1</v>
      </c>
      <c r="I78" s="50"/>
      <c r="J78" s="50"/>
      <c r="K78" s="50"/>
      <c r="L78" s="50"/>
      <c r="M78" s="50"/>
      <c r="N78" s="50"/>
      <c r="O78" s="50"/>
      <c r="P78" s="50"/>
      <c r="Q78" s="50"/>
      <c r="R78" s="50"/>
      <c r="S78" s="50"/>
      <c r="T78" s="50"/>
      <c r="U78" s="50"/>
      <c r="V78" s="50"/>
      <c r="W78" s="50"/>
      <c r="X78" s="50"/>
      <c r="Y78" s="50"/>
      <c r="Z78" s="50"/>
    </row>
    <row r="79" ht="12.75" customHeight="1">
      <c r="A79" s="50"/>
      <c r="B79" s="186"/>
      <c r="C79" s="187"/>
      <c r="D79" s="50"/>
      <c r="E79" s="187"/>
      <c r="F79" s="50"/>
      <c r="G79" s="187"/>
      <c r="H79" s="50"/>
      <c r="I79" s="50"/>
      <c r="J79" s="50"/>
      <c r="K79" s="50"/>
      <c r="L79" s="50"/>
      <c r="M79" s="50"/>
      <c r="N79" s="50"/>
      <c r="O79" s="50"/>
      <c r="P79" s="50"/>
      <c r="Q79" s="50"/>
      <c r="R79" s="50"/>
      <c r="S79" s="50"/>
      <c r="T79" s="50"/>
      <c r="U79" s="50"/>
      <c r="V79" s="50"/>
      <c r="W79" s="50"/>
      <c r="X79" s="50"/>
      <c r="Y79" s="50"/>
      <c r="Z79" s="50"/>
    </row>
    <row r="80" ht="12.75" customHeight="1">
      <c r="A80" s="50"/>
      <c r="B80" s="186"/>
      <c r="C80" s="187"/>
      <c r="D80" s="50"/>
      <c r="E80" s="187"/>
      <c r="F80" s="50"/>
      <c r="G80" s="187"/>
      <c r="H80" s="50"/>
      <c r="I80" s="50"/>
      <c r="J80" s="50"/>
      <c r="K80" s="50"/>
      <c r="L80" s="50"/>
      <c r="M80" s="50"/>
      <c r="N80" s="50"/>
      <c r="O80" s="50"/>
      <c r="P80" s="50"/>
      <c r="Q80" s="50"/>
      <c r="R80" s="50"/>
      <c r="S80" s="50"/>
      <c r="T80" s="50"/>
      <c r="U80" s="50"/>
      <c r="V80" s="50"/>
      <c r="W80" s="50"/>
      <c r="X80" s="50"/>
      <c r="Y80" s="50"/>
      <c r="Z80" s="50"/>
    </row>
    <row r="81" ht="12.75" customHeight="1">
      <c r="A81" s="50"/>
      <c r="B81" s="186"/>
      <c r="C81" s="187"/>
      <c r="D81" s="50"/>
      <c r="E81" s="187"/>
      <c r="F81" s="50"/>
      <c r="G81" s="187"/>
      <c r="H81" s="50"/>
      <c r="I81" s="50"/>
      <c r="J81" s="50"/>
      <c r="K81" s="50"/>
      <c r="L81" s="50"/>
      <c r="M81" s="50"/>
      <c r="N81" s="50"/>
      <c r="O81" s="50"/>
      <c r="P81" s="50"/>
      <c r="Q81" s="50"/>
      <c r="R81" s="50"/>
      <c r="S81" s="50"/>
      <c r="T81" s="50"/>
      <c r="U81" s="50"/>
      <c r="V81" s="50"/>
      <c r="W81" s="50"/>
      <c r="X81" s="50"/>
      <c r="Y81" s="50"/>
      <c r="Z81" s="50"/>
    </row>
    <row r="82" ht="12.75" customHeight="1">
      <c r="A82" s="50"/>
      <c r="B82" s="186"/>
      <c r="C82" s="187"/>
      <c r="D82" s="50"/>
      <c r="E82" s="187"/>
      <c r="F82" s="50"/>
      <c r="G82" s="187"/>
      <c r="H82" s="50"/>
      <c r="I82" s="50"/>
      <c r="J82" s="50"/>
      <c r="K82" s="50"/>
      <c r="L82" s="50"/>
      <c r="M82" s="50"/>
      <c r="N82" s="50"/>
      <c r="O82" s="50"/>
      <c r="P82" s="50"/>
      <c r="Q82" s="50"/>
      <c r="R82" s="50"/>
      <c r="S82" s="50"/>
      <c r="T82" s="50"/>
      <c r="U82" s="50"/>
      <c r="V82" s="50"/>
      <c r="W82" s="50"/>
      <c r="X82" s="50"/>
      <c r="Y82" s="50"/>
      <c r="Z82" s="50"/>
    </row>
    <row r="83" ht="12.75" customHeight="1">
      <c r="A83" s="50"/>
      <c r="B83" s="186"/>
      <c r="C83" s="187"/>
      <c r="D83" s="50"/>
      <c r="E83" s="187"/>
      <c r="F83" s="50"/>
      <c r="G83" s="187"/>
      <c r="H83" s="50"/>
      <c r="I83" s="50"/>
      <c r="J83" s="50"/>
      <c r="K83" s="50"/>
      <c r="L83" s="50"/>
      <c r="M83" s="50"/>
      <c r="N83" s="50"/>
      <c r="O83" s="50"/>
      <c r="P83" s="50"/>
      <c r="Q83" s="50"/>
      <c r="R83" s="50"/>
      <c r="S83" s="50"/>
      <c r="T83" s="50"/>
      <c r="U83" s="50"/>
      <c r="V83" s="50"/>
      <c r="W83" s="50"/>
      <c r="X83" s="50"/>
      <c r="Y83" s="50"/>
      <c r="Z83" s="50"/>
    </row>
    <row r="84" ht="12.75" customHeight="1">
      <c r="A84" s="50"/>
      <c r="B84" s="186"/>
      <c r="C84" s="187"/>
      <c r="D84" s="50"/>
      <c r="E84" s="187"/>
      <c r="F84" s="50"/>
      <c r="G84" s="187"/>
      <c r="H84" s="50"/>
      <c r="I84" s="50"/>
      <c r="J84" s="50"/>
      <c r="K84" s="50"/>
      <c r="L84" s="50"/>
      <c r="M84" s="50"/>
      <c r="N84" s="50"/>
      <c r="O84" s="50"/>
      <c r="P84" s="50"/>
      <c r="Q84" s="50"/>
      <c r="R84" s="50"/>
      <c r="S84" s="50"/>
      <c r="T84" s="50"/>
      <c r="U84" s="50"/>
      <c r="V84" s="50"/>
      <c r="W84" s="50"/>
      <c r="X84" s="50"/>
      <c r="Y84" s="50"/>
      <c r="Z84" s="50"/>
    </row>
    <row r="85" ht="12.75" customHeight="1">
      <c r="A85" s="50"/>
      <c r="B85" s="186"/>
      <c r="C85" s="187"/>
      <c r="D85" s="50"/>
      <c r="E85" s="187"/>
      <c r="F85" s="50"/>
      <c r="G85" s="187"/>
      <c r="H85" s="50"/>
      <c r="I85" s="50"/>
      <c r="J85" s="50"/>
      <c r="K85" s="50"/>
      <c r="L85" s="50"/>
      <c r="M85" s="50"/>
      <c r="N85" s="50"/>
      <c r="O85" s="50"/>
      <c r="P85" s="50"/>
      <c r="Q85" s="50"/>
      <c r="R85" s="50"/>
      <c r="S85" s="50"/>
      <c r="T85" s="50"/>
      <c r="U85" s="50"/>
      <c r="V85" s="50"/>
      <c r="W85" s="50"/>
      <c r="X85" s="50"/>
      <c r="Y85" s="50"/>
      <c r="Z85" s="50"/>
    </row>
    <row r="86" ht="12.75" customHeight="1">
      <c r="A86" s="50"/>
      <c r="B86" s="186"/>
      <c r="C86" s="187"/>
      <c r="D86" s="50"/>
      <c r="E86" s="187"/>
      <c r="F86" s="50"/>
      <c r="G86" s="187"/>
      <c r="H86" s="50"/>
      <c r="I86" s="50"/>
      <c r="J86" s="50"/>
      <c r="K86" s="50"/>
      <c r="L86" s="50"/>
      <c r="M86" s="50"/>
      <c r="N86" s="50"/>
      <c r="O86" s="50"/>
      <c r="P86" s="50"/>
      <c r="Q86" s="50"/>
      <c r="R86" s="50"/>
      <c r="S86" s="50"/>
      <c r="T86" s="50"/>
      <c r="U86" s="50"/>
      <c r="V86" s="50"/>
      <c r="W86" s="50"/>
      <c r="X86" s="50"/>
      <c r="Y86" s="50"/>
      <c r="Z86" s="50"/>
    </row>
    <row r="87" ht="12.75" customHeight="1">
      <c r="A87" s="50"/>
      <c r="B87" s="186"/>
      <c r="C87" s="187"/>
      <c r="D87" s="50"/>
      <c r="E87" s="187"/>
      <c r="F87" s="50"/>
      <c r="G87" s="187"/>
      <c r="H87" s="50"/>
      <c r="I87" s="50"/>
      <c r="J87" s="50"/>
      <c r="K87" s="50"/>
      <c r="L87" s="50"/>
      <c r="M87" s="50"/>
      <c r="N87" s="50"/>
      <c r="O87" s="50"/>
      <c r="P87" s="50"/>
      <c r="Q87" s="50"/>
      <c r="R87" s="50"/>
      <c r="S87" s="50"/>
      <c r="T87" s="50"/>
      <c r="U87" s="50"/>
      <c r="V87" s="50"/>
      <c r="W87" s="50"/>
      <c r="X87" s="50"/>
      <c r="Y87" s="50"/>
      <c r="Z87" s="50"/>
    </row>
    <row r="88" ht="12.75" customHeight="1">
      <c r="A88" s="50"/>
      <c r="B88" s="186"/>
      <c r="C88" s="187"/>
      <c r="D88" s="50"/>
      <c r="E88" s="187"/>
      <c r="F88" s="50"/>
      <c r="G88" s="187"/>
      <c r="H88" s="50"/>
      <c r="I88" s="50"/>
      <c r="J88" s="50"/>
      <c r="K88" s="50"/>
      <c r="L88" s="50"/>
      <c r="M88" s="50"/>
      <c r="N88" s="50"/>
      <c r="O88" s="50"/>
      <c r="P88" s="50"/>
      <c r="Q88" s="50"/>
      <c r="R88" s="50"/>
      <c r="S88" s="50"/>
      <c r="T88" s="50"/>
      <c r="U88" s="50"/>
      <c r="V88" s="50"/>
      <c r="W88" s="50"/>
      <c r="X88" s="50"/>
      <c r="Y88" s="50"/>
      <c r="Z88" s="50"/>
    </row>
    <row r="89" ht="12.75" customHeight="1">
      <c r="A89" s="50"/>
      <c r="B89" s="186"/>
      <c r="C89" s="187"/>
      <c r="D89" s="50"/>
      <c r="E89" s="187"/>
      <c r="F89" s="50"/>
      <c r="G89" s="187"/>
      <c r="H89" s="50"/>
      <c r="I89" s="50"/>
      <c r="J89" s="50"/>
      <c r="K89" s="50"/>
      <c r="L89" s="50"/>
      <c r="M89" s="50"/>
      <c r="N89" s="50"/>
      <c r="O89" s="50"/>
      <c r="P89" s="50"/>
      <c r="Q89" s="50"/>
      <c r="R89" s="50"/>
      <c r="S89" s="50"/>
      <c r="T89" s="50"/>
      <c r="U89" s="50"/>
      <c r="V89" s="50"/>
      <c r="W89" s="50"/>
      <c r="X89" s="50"/>
      <c r="Y89" s="50"/>
      <c r="Z89" s="50"/>
    </row>
    <row r="90" ht="12.75" customHeight="1">
      <c r="A90" s="50"/>
      <c r="B90" s="186"/>
      <c r="C90" s="187"/>
      <c r="D90" s="50"/>
      <c r="E90" s="187"/>
      <c r="F90" s="50"/>
      <c r="G90" s="187"/>
      <c r="H90" s="50"/>
      <c r="I90" s="50"/>
      <c r="J90" s="50"/>
      <c r="K90" s="50"/>
      <c r="L90" s="50"/>
      <c r="M90" s="50"/>
      <c r="N90" s="50"/>
      <c r="O90" s="50"/>
      <c r="P90" s="50"/>
      <c r="Q90" s="50"/>
      <c r="R90" s="50"/>
      <c r="S90" s="50"/>
      <c r="T90" s="50"/>
      <c r="U90" s="50"/>
      <c r="V90" s="50"/>
      <c r="W90" s="50"/>
      <c r="X90" s="50"/>
      <c r="Y90" s="50"/>
      <c r="Z90" s="50"/>
    </row>
    <row r="91" ht="12.75" customHeight="1">
      <c r="A91" s="50"/>
      <c r="B91" s="186"/>
      <c r="C91" s="187"/>
      <c r="D91" s="50"/>
      <c r="E91" s="187"/>
      <c r="F91" s="50"/>
      <c r="G91" s="187"/>
      <c r="H91" s="50"/>
      <c r="I91" s="50"/>
      <c r="J91" s="50"/>
      <c r="K91" s="50"/>
      <c r="L91" s="50"/>
      <c r="M91" s="50"/>
      <c r="N91" s="50"/>
      <c r="O91" s="50"/>
      <c r="P91" s="50"/>
      <c r="Q91" s="50"/>
      <c r="R91" s="50"/>
      <c r="S91" s="50"/>
      <c r="T91" s="50"/>
      <c r="U91" s="50"/>
      <c r="V91" s="50"/>
      <c r="W91" s="50"/>
      <c r="X91" s="50"/>
      <c r="Y91" s="50"/>
      <c r="Z91" s="50"/>
    </row>
    <row r="92" ht="12.75" customHeight="1">
      <c r="A92" s="50"/>
      <c r="B92" s="186"/>
      <c r="C92" s="187"/>
      <c r="D92" s="50"/>
      <c r="E92" s="187"/>
      <c r="F92" s="50"/>
      <c r="G92" s="187"/>
      <c r="H92" s="50"/>
      <c r="I92" s="50"/>
      <c r="J92" s="50"/>
      <c r="K92" s="50"/>
      <c r="L92" s="50"/>
      <c r="M92" s="50"/>
      <c r="N92" s="50"/>
      <c r="O92" s="50"/>
      <c r="P92" s="50"/>
      <c r="Q92" s="50"/>
      <c r="R92" s="50"/>
      <c r="S92" s="50"/>
      <c r="T92" s="50"/>
      <c r="U92" s="50"/>
      <c r="V92" s="50"/>
      <c r="W92" s="50"/>
      <c r="X92" s="50"/>
      <c r="Y92" s="50"/>
      <c r="Z92" s="50"/>
    </row>
    <row r="93" ht="12.75" customHeight="1">
      <c r="A93" s="50"/>
      <c r="B93" s="186"/>
      <c r="C93" s="187"/>
      <c r="D93" s="50"/>
      <c r="E93" s="187"/>
      <c r="F93" s="50"/>
      <c r="G93" s="187"/>
      <c r="H93" s="50"/>
      <c r="I93" s="50"/>
      <c r="J93" s="50"/>
      <c r="K93" s="50"/>
      <c r="L93" s="50"/>
      <c r="M93" s="50"/>
      <c r="N93" s="50"/>
      <c r="O93" s="50"/>
      <c r="P93" s="50"/>
      <c r="Q93" s="50"/>
      <c r="R93" s="50"/>
      <c r="S93" s="50"/>
      <c r="T93" s="50"/>
      <c r="U93" s="50"/>
      <c r="V93" s="50"/>
      <c r="W93" s="50"/>
      <c r="X93" s="50"/>
      <c r="Y93" s="50"/>
      <c r="Z93" s="50"/>
    </row>
    <row r="94" ht="12.75" customHeight="1">
      <c r="A94" s="50"/>
      <c r="B94" s="186"/>
      <c r="C94" s="187"/>
      <c r="D94" s="50"/>
      <c r="E94" s="187"/>
      <c r="F94" s="50"/>
      <c r="G94" s="187"/>
      <c r="H94" s="50"/>
      <c r="I94" s="50"/>
      <c r="J94" s="50"/>
      <c r="K94" s="50"/>
      <c r="L94" s="50"/>
      <c r="M94" s="50"/>
      <c r="N94" s="50"/>
      <c r="O94" s="50"/>
      <c r="P94" s="50"/>
      <c r="Q94" s="50"/>
      <c r="R94" s="50"/>
      <c r="S94" s="50"/>
      <c r="T94" s="50"/>
      <c r="U94" s="50"/>
      <c r="V94" s="50"/>
      <c r="W94" s="50"/>
      <c r="X94" s="50"/>
      <c r="Y94" s="50"/>
      <c r="Z94" s="50"/>
    </row>
    <row r="95" ht="12.75" customHeight="1">
      <c r="A95" s="50"/>
      <c r="B95" s="186"/>
      <c r="C95" s="187"/>
      <c r="D95" s="50"/>
      <c r="E95" s="187"/>
      <c r="F95" s="50"/>
      <c r="G95" s="187"/>
      <c r="H95" s="50"/>
      <c r="I95" s="50"/>
      <c r="J95" s="50"/>
      <c r="K95" s="50"/>
      <c r="L95" s="50"/>
      <c r="M95" s="50"/>
      <c r="N95" s="50"/>
      <c r="O95" s="50"/>
      <c r="P95" s="50"/>
      <c r="Q95" s="50"/>
      <c r="R95" s="50"/>
      <c r="S95" s="50"/>
      <c r="T95" s="50"/>
      <c r="U95" s="50"/>
      <c r="V95" s="50"/>
      <c r="W95" s="50"/>
      <c r="X95" s="50"/>
      <c r="Y95" s="50"/>
      <c r="Z95" s="50"/>
    </row>
    <row r="96" ht="12.75" customHeight="1">
      <c r="A96" s="50"/>
      <c r="B96" s="186"/>
      <c r="C96" s="187"/>
      <c r="D96" s="50"/>
      <c r="E96" s="187"/>
      <c r="F96" s="50"/>
      <c r="G96" s="187"/>
      <c r="H96" s="50"/>
      <c r="I96" s="50"/>
      <c r="J96" s="50"/>
      <c r="K96" s="50"/>
      <c r="L96" s="50"/>
      <c r="M96" s="50"/>
      <c r="N96" s="50"/>
      <c r="O96" s="50"/>
      <c r="P96" s="50"/>
      <c r="Q96" s="50"/>
      <c r="R96" s="50"/>
      <c r="S96" s="50"/>
      <c r="T96" s="50"/>
      <c r="U96" s="50"/>
      <c r="V96" s="50"/>
      <c r="W96" s="50"/>
      <c r="X96" s="50"/>
      <c r="Y96" s="50"/>
      <c r="Z96" s="50"/>
    </row>
    <row r="97" ht="12.75" customHeight="1">
      <c r="A97" s="50"/>
      <c r="B97" s="186"/>
      <c r="C97" s="187"/>
      <c r="D97" s="50"/>
      <c r="E97" s="187"/>
      <c r="F97" s="50"/>
      <c r="G97" s="187"/>
      <c r="H97" s="50"/>
      <c r="I97" s="50"/>
      <c r="J97" s="50"/>
      <c r="K97" s="50"/>
      <c r="L97" s="50"/>
      <c r="M97" s="50"/>
      <c r="N97" s="50"/>
      <c r="O97" s="50"/>
      <c r="P97" s="50"/>
      <c r="Q97" s="50"/>
      <c r="R97" s="50"/>
      <c r="S97" s="50"/>
      <c r="T97" s="50"/>
      <c r="U97" s="50"/>
      <c r="V97" s="50"/>
      <c r="W97" s="50"/>
      <c r="X97" s="50"/>
      <c r="Y97" s="50"/>
      <c r="Z97" s="50"/>
    </row>
    <row r="98" ht="12.75" customHeight="1">
      <c r="A98" s="50"/>
      <c r="B98" s="186"/>
      <c r="C98" s="187"/>
      <c r="D98" s="50"/>
      <c r="E98" s="187"/>
      <c r="F98" s="50"/>
      <c r="G98" s="187"/>
      <c r="H98" s="50"/>
      <c r="I98" s="50"/>
      <c r="J98" s="50"/>
      <c r="K98" s="50"/>
      <c r="L98" s="50"/>
      <c r="M98" s="50"/>
      <c r="N98" s="50"/>
      <c r="O98" s="50"/>
      <c r="P98" s="50"/>
      <c r="Q98" s="50"/>
      <c r="R98" s="50"/>
      <c r="S98" s="50"/>
      <c r="T98" s="50"/>
      <c r="U98" s="50"/>
      <c r="V98" s="50"/>
      <c r="W98" s="50"/>
      <c r="X98" s="50"/>
      <c r="Y98" s="50"/>
      <c r="Z98" s="50"/>
    </row>
    <row r="99" ht="12.75" customHeight="1">
      <c r="A99" s="50"/>
      <c r="B99" s="186"/>
      <c r="C99" s="187"/>
      <c r="D99" s="50"/>
      <c r="E99" s="187"/>
      <c r="F99" s="50"/>
      <c r="G99" s="187"/>
      <c r="H99" s="50"/>
      <c r="I99" s="50"/>
      <c r="J99" s="50"/>
      <c r="K99" s="50"/>
      <c r="L99" s="50"/>
      <c r="M99" s="50"/>
      <c r="N99" s="50"/>
      <c r="O99" s="50"/>
      <c r="P99" s="50"/>
      <c r="Q99" s="50"/>
      <c r="R99" s="50"/>
      <c r="S99" s="50"/>
      <c r="T99" s="50"/>
      <c r="U99" s="50"/>
      <c r="V99" s="50"/>
      <c r="W99" s="50"/>
      <c r="X99" s="50"/>
      <c r="Y99" s="50"/>
      <c r="Z99" s="50"/>
    </row>
    <row r="100" ht="12.75" customHeight="1">
      <c r="A100" s="50"/>
      <c r="B100" s="186"/>
      <c r="C100" s="187"/>
      <c r="D100" s="50"/>
      <c r="E100" s="187"/>
      <c r="F100" s="50"/>
      <c r="G100" s="187"/>
      <c r="H100" s="50"/>
      <c r="I100" s="50"/>
      <c r="J100" s="50"/>
      <c r="K100" s="50"/>
      <c r="L100" s="50"/>
      <c r="M100" s="50"/>
      <c r="N100" s="50"/>
      <c r="O100" s="50"/>
      <c r="P100" s="50"/>
      <c r="Q100" s="50"/>
      <c r="R100" s="50"/>
      <c r="S100" s="50"/>
      <c r="T100" s="50"/>
      <c r="U100" s="50"/>
      <c r="V100" s="50"/>
      <c r="W100" s="50"/>
      <c r="X100" s="50"/>
      <c r="Y100" s="50"/>
      <c r="Z100" s="50"/>
    </row>
    <row r="101" ht="12.75" customHeight="1">
      <c r="A101" s="50"/>
      <c r="B101" s="186"/>
      <c r="C101" s="187"/>
      <c r="D101" s="50"/>
      <c r="E101" s="187"/>
      <c r="F101" s="50"/>
      <c r="G101" s="187"/>
      <c r="H101" s="50"/>
      <c r="I101" s="50"/>
      <c r="J101" s="50"/>
      <c r="K101" s="50"/>
      <c r="L101" s="50"/>
      <c r="M101" s="50"/>
      <c r="N101" s="50"/>
      <c r="O101" s="50"/>
      <c r="P101" s="50"/>
      <c r="Q101" s="50"/>
      <c r="R101" s="50"/>
      <c r="S101" s="50"/>
      <c r="T101" s="50"/>
      <c r="U101" s="50"/>
      <c r="V101" s="50"/>
      <c r="W101" s="50"/>
      <c r="X101" s="50"/>
      <c r="Y101" s="50"/>
      <c r="Z101" s="50"/>
    </row>
    <row r="102" ht="12.75" customHeight="1">
      <c r="A102" s="50"/>
      <c r="B102" s="186"/>
      <c r="C102" s="187"/>
      <c r="D102" s="50"/>
      <c r="E102" s="187"/>
      <c r="F102" s="50"/>
      <c r="G102" s="187"/>
      <c r="H102" s="50"/>
      <c r="I102" s="50"/>
      <c r="J102" s="50"/>
      <c r="K102" s="50"/>
      <c r="L102" s="50"/>
      <c r="M102" s="50"/>
      <c r="N102" s="50"/>
      <c r="O102" s="50"/>
      <c r="P102" s="50"/>
      <c r="Q102" s="50"/>
      <c r="R102" s="50"/>
      <c r="S102" s="50"/>
      <c r="T102" s="50"/>
      <c r="U102" s="50"/>
      <c r="V102" s="50"/>
      <c r="W102" s="50"/>
      <c r="X102" s="50"/>
      <c r="Y102" s="50"/>
      <c r="Z102" s="50"/>
    </row>
    <row r="103" ht="12.75" customHeight="1">
      <c r="A103" s="50"/>
      <c r="B103" s="186"/>
      <c r="C103" s="187"/>
      <c r="D103" s="50"/>
      <c r="E103" s="187"/>
      <c r="F103" s="50"/>
      <c r="G103" s="187"/>
      <c r="H103" s="50"/>
      <c r="I103" s="50"/>
      <c r="J103" s="50"/>
      <c r="K103" s="50"/>
      <c r="L103" s="50"/>
      <c r="M103" s="50"/>
      <c r="N103" s="50"/>
      <c r="O103" s="50"/>
      <c r="P103" s="50"/>
      <c r="Q103" s="50"/>
      <c r="R103" s="50"/>
      <c r="S103" s="50"/>
      <c r="T103" s="50"/>
      <c r="U103" s="50"/>
      <c r="V103" s="50"/>
      <c r="W103" s="50"/>
      <c r="X103" s="50"/>
      <c r="Y103" s="50"/>
      <c r="Z103" s="50"/>
    </row>
    <row r="104" ht="12.75" customHeight="1">
      <c r="A104" s="50"/>
      <c r="B104" s="186"/>
      <c r="C104" s="187"/>
      <c r="D104" s="50"/>
      <c r="E104" s="187"/>
      <c r="F104" s="50"/>
      <c r="G104" s="187"/>
      <c r="H104" s="50"/>
      <c r="I104" s="50"/>
      <c r="J104" s="50"/>
      <c r="K104" s="50"/>
      <c r="L104" s="50"/>
      <c r="M104" s="50"/>
      <c r="N104" s="50"/>
      <c r="O104" s="50"/>
      <c r="P104" s="50"/>
      <c r="Q104" s="50"/>
      <c r="R104" s="50"/>
      <c r="S104" s="50"/>
      <c r="T104" s="50"/>
      <c r="U104" s="50"/>
      <c r="V104" s="50"/>
      <c r="W104" s="50"/>
      <c r="X104" s="50"/>
      <c r="Y104" s="50"/>
      <c r="Z104" s="50"/>
    </row>
    <row r="105" ht="12.75" customHeight="1">
      <c r="A105" s="50"/>
      <c r="B105" s="186"/>
      <c r="C105" s="187"/>
      <c r="D105" s="50"/>
      <c r="E105" s="187"/>
      <c r="F105" s="50"/>
      <c r="G105" s="187"/>
      <c r="H105" s="50"/>
      <c r="I105" s="50"/>
      <c r="J105" s="50"/>
      <c r="K105" s="50"/>
      <c r="L105" s="50"/>
      <c r="M105" s="50"/>
      <c r="N105" s="50"/>
      <c r="O105" s="50"/>
      <c r="P105" s="50"/>
      <c r="Q105" s="50"/>
      <c r="R105" s="50"/>
      <c r="S105" s="50"/>
      <c r="T105" s="50"/>
      <c r="U105" s="50"/>
      <c r="V105" s="50"/>
      <c r="W105" s="50"/>
      <c r="X105" s="50"/>
      <c r="Y105" s="50"/>
      <c r="Z105" s="50"/>
    </row>
    <row r="106" ht="12.75" customHeight="1">
      <c r="A106" s="50"/>
      <c r="B106" s="186"/>
      <c r="C106" s="187"/>
      <c r="D106" s="50"/>
      <c r="E106" s="187"/>
      <c r="F106" s="50"/>
      <c r="G106" s="187"/>
      <c r="H106" s="50"/>
      <c r="I106" s="50"/>
      <c r="J106" s="50"/>
      <c r="K106" s="50"/>
      <c r="L106" s="50"/>
      <c r="M106" s="50"/>
      <c r="N106" s="50"/>
      <c r="O106" s="50"/>
      <c r="P106" s="50"/>
      <c r="Q106" s="50"/>
      <c r="R106" s="50"/>
      <c r="S106" s="50"/>
      <c r="T106" s="50"/>
      <c r="U106" s="50"/>
      <c r="V106" s="50"/>
      <c r="W106" s="50"/>
      <c r="X106" s="50"/>
      <c r="Y106" s="50"/>
      <c r="Z106" s="50"/>
    </row>
    <row r="107" ht="12.75" customHeight="1">
      <c r="A107" s="50"/>
      <c r="B107" s="186"/>
      <c r="C107" s="187"/>
      <c r="D107" s="50"/>
      <c r="E107" s="187"/>
      <c r="F107" s="50"/>
      <c r="G107" s="187"/>
      <c r="H107" s="50"/>
      <c r="I107" s="50"/>
      <c r="J107" s="50"/>
      <c r="K107" s="50"/>
      <c r="L107" s="50"/>
      <c r="M107" s="50"/>
      <c r="N107" s="50"/>
      <c r="O107" s="50"/>
      <c r="P107" s="50"/>
      <c r="Q107" s="50"/>
      <c r="R107" s="50"/>
      <c r="S107" s="50"/>
      <c r="T107" s="50"/>
      <c r="U107" s="50"/>
      <c r="V107" s="50"/>
      <c r="W107" s="50"/>
      <c r="X107" s="50"/>
      <c r="Y107" s="50"/>
      <c r="Z107" s="50"/>
    </row>
    <row r="108" ht="12.75" customHeight="1">
      <c r="A108" s="50"/>
      <c r="B108" s="186"/>
      <c r="C108" s="187"/>
      <c r="D108" s="50"/>
      <c r="E108" s="187"/>
      <c r="F108" s="50"/>
      <c r="G108" s="187"/>
      <c r="H108" s="50"/>
      <c r="I108" s="50"/>
      <c r="J108" s="50"/>
      <c r="K108" s="50"/>
      <c r="L108" s="50"/>
      <c r="M108" s="50"/>
      <c r="N108" s="50"/>
      <c r="O108" s="50"/>
      <c r="P108" s="50"/>
      <c r="Q108" s="50"/>
      <c r="R108" s="50"/>
      <c r="S108" s="50"/>
      <c r="T108" s="50"/>
      <c r="U108" s="50"/>
      <c r="V108" s="50"/>
      <c r="W108" s="50"/>
      <c r="X108" s="50"/>
      <c r="Y108" s="50"/>
      <c r="Z108" s="50"/>
    </row>
    <row r="109" ht="12.75" customHeight="1">
      <c r="A109" s="50"/>
      <c r="B109" s="186"/>
      <c r="C109" s="187"/>
      <c r="D109" s="50"/>
      <c r="E109" s="187"/>
      <c r="F109" s="50"/>
      <c r="G109" s="187"/>
      <c r="H109" s="50"/>
      <c r="I109" s="50"/>
      <c r="J109" s="50"/>
      <c r="K109" s="50"/>
      <c r="L109" s="50"/>
      <c r="M109" s="50"/>
      <c r="N109" s="50"/>
      <c r="O109" s="50"/>
      <c r="P109" s="50"/>
      <c r="Q109" s="50"/>
      <c r="R109" s="50"/>
      <c r="S109" s="50"/>
      <c r="T109" s="50"/>
      <c r="U109" s="50"/>
      <c r="V109" s="50"/>
      <c r="W109" s="50"/>
      <c r="X109" s="50"/>
      <c r="Y109" s="50"/>
      <c r="Z109" s="50"/>
    </row>
    <row r="110" ht="12.75" customHeight="1">
      <c r="A110" s="50"/>
      <c r="B110" s="186"/>
      <c r="C110" s="187"/>
      <c r="D110" s="50"/>
      <c r="E110" s="187"/>
      <c r="F110" s="50"/>
      <c r="G110" s="187"/>
      <c r="H110" s="50"/>
      <c r="I110" s="50"/>
      <c r="J110" s="50"/>
      <c r="K110" s="50"/>
      <c r="L110" s="50"/>
      <c r="M110" s="50"/>
      <c r="N110" s="50"/>
      <c r="O110" s="50"/>
      <c r="P110" s="50"/>
      <c r="Q110" s="50"/>
      <c r="R110" s="50"/>
      <c r="S110" s="50"/>
      <c r="T110" s="50"/>
      <c r="U110" s="50"/>
      <c r="V110" s="50"/>
      <c r="W110" s="50"/>
      <c r="X110" s="50"/>
      <c r="Y110" s="50"/>
      <c r="Z110" s="50"/>
    </row>
    <row r="111" ht="12.75" customHeight="1">
      <c r="A111" s="50"/>
      <c r="B111" s="186"/>
      <c r="C111" s="187"/>
      <c r="D111" s="50"/>
      <c r="E111" s="187"/>
      <c r="F111" s="50"/>
      <c r="G111" s="187"/>
      <c r="H111" s="50"/>
      <c r="I111" s="50"/>
      <c r="J111" s="50"/>
      <c r="K111" s="50"/>
      <c r="L111" s="50"/>
      <c r="M111" s="50"/>
      <c r="N111" s="50"/>
      <c r="O111" s="50"/>
      <c r="P111" s="50"/>
      <c r="Q111" s="50"/>
      <c r="R111" s="50"/>
      <c r="S111" s="50"/>
      <c r="T111" s="50"/>
      <c r="U111" s="50"/>
      <c r="V111" s="50"/>
      <c r="W111" s="50"/>
      <c r="X111" s="50"/>
      <c r="Y111" s="50"/>
      <c r="Z111" s="50"/>
    </row>
    <row r="112" ht="12.75" customHeight="1">
      <c r="A112" s="50"/>
      <c r="B112" s="186"/>
      <c r="C112" s="187"/>
      <c r="D112" s="50"/>
      <c r="E112" s="187"/>
      <c r="F112" s="50"/>
      <c r="G112" s="187"/>
      <c r="H112" s="50"/>
      <c r="I112" s="50"/>
      <c r="J112" s="50"/>
      <c r="K112" s="50"/>
      <c r="L112" s="50"/>
      <c r="M112" s="50"/>
      <c r="N112" s="50"/>
      <c r="O112" s="50"/>
      <c r="P112" s="50"/>
      <c r="Q112" s="50"/>
      <c r="R112" s="50"/>
      <c r="S112" s="50"/>
      <c r="T112" s="50"/>
      <c r="U112" s="50"/>
      <c r="V112" s="50"/>
      <c r="W112" s="50"/>
      <c r="X112" s="50"/>
      <c r="Y112" s="50"/>
      <c r="Z112" s="50"/>
    </row>
    <row r="113" ht="12.75" customHeight="1">
      <c r="A113" s="50"/>
      <c r="B113" s="186"/>
      <c r="C113" s="187"/>
      <c r="D113" s="50"/>
      <c r="E113" s="187"/>
      <c r="F113" s="50"/>
      <c r="G113" s="187"/>
      <c r="H113" s="50"/>
      <c r="I113" s="50"/>
      <c r="J113" s="50"/>
      <c r="K113" s="50"/>
      <c r="L113" s="50"/>
      <c r="M113" s="50"/>
      <c r="N113" s="50"/>
      <c r="O113" s="50"/>
      <c r="P113" s="50"/>
      <c r="Q113" s="50"/>
      <c r="R113" s="50"/>
      <c r="S113" s="50"/>
      <c r="T113" s="50"/>
      <c r="U113" s="50"/>
      <c r="V113" s="50"/>
      <c r="W113" s="50"/>
      <c r="X113" s="50"/>
      <c r="Y113" s="50"/>
      <c r="Z113" s="50"/>
    </row>
    <row r="114" ht="12.75" customHeight="1">
      <c r="A114" s="50"/>
      <c r="B114" s="186"/>
      <c r="C114" s="187"/>
      <c r="D114" s="50"/>
      <c r="E114" s="187"/>
      <c r="F114" s="50"/>
      <c r="G114" s="187"/>
      <c r="H114" s="50"/>
      <c r="I114" s="50"/>
      <c r="J114" s="50"/>
      <c r="K114" s="50"/>
      <c r="L114" s="50"/>
      <c r="M114" s="50"/>
      <c r="N114" s="50"/>
      <c r="O114" s="50"/>
      <c r="P114" s="50"/>
      <c r="Q114" s="50"/>
      <c r="R114" s="50"/>
      <c r="S114" s="50"/>
      <c r="T114" s="50"/>
      <c r="U114" s="50"/>
      <c r="V114" s="50"/>
      <c r="W114" s="50"/>
      <c r="X114" s="50"/>
      <c r="Y114" s="50"/>
      <c r="Z114" s="50"/>
    </row>
    <row r="115" ht="12.75" customHeight="1">
      <c r="A115" s="50"/>
      <c r="B115" s="186"/>
      <c r="C115" s="187"/>
      <c r="D115" s="50"/>
      <c r="E115" s="187"/>
      <c r="F115" s="50"/>
      <c r="G115" s="187"/>
      <c r="H115" s="50"/>
      <c r="I115" s="50"/>
      <c r="J115" s="50"/>
      <c r="K115" s="50"/>
      <c r="L115" s="50"/>
      <c r="M115" s="50"/>
      <c r="N115" s="50"/>
      <c r="O115" s="50"/>
      <c r="P115" s="50"/>
      <c r="Q115" s="50"/>
      <c r="R115" s="50"/>
      <c r="S115" s="50"/>
      <c r="T115" s="50"/>
      <c r="U115" s="50"/>
      <c r="V115" s="50"/>
      <c r="W115" s="50"/>
      <c r="X115" s="50"/>
      <c r="Y115" s="50"/>
      <c r="Z115" s="50"/>
    </row>
    <row r="116" ht="12.75" customHeight="1">
      <c r="A116" s="50"/>
      <c r="B116" s="186"/>
      <c r="C116" s="187"/>
      <c r="D116" s="50"/>
      <c r="E116" s="187"/>
      <c r="F116" s="50"/>
      <c r="G116" s="187"/>
      <c r="H116" s="50"/>
      <c r="I116" s="50"/>
      <c r="J116" s="50"/>
      <c r="K116" s="50"/>
      <c r="L116" s="50"/>
      <c r="M116" s="50"/>
      <c r="N116" s="50"/>
      <c r="O116" s="50"/>
      <c r="P116" s="50"/>
      <c r="Q116" s="50"/>
      <c r="R116" s="50"/>
      <c r="S116" s="50"/>
      <c r="T116" s="50"/>
      <c r="U116" s="50"/>
      <c r="V116" s="50"/>
      <c r="W116" s="50"/>
      <c r="X116" s="50"/>
      <c r="Y116" s="50"/>
      <c r="Z116" s="50"/>
    </row>
    <row r="117" ht="12.75" customHeight="1">
      <c r="A117" s="50"/>
      <c r="B117" s="186"/>
      <c r="C117" s="187"/>
      <c r="D117" s="50"/>
      <c r="E117" s="187"/>
      <c r="F117" s="50"/>
      <c r="G117" s="187"/>
      <c r="H117" s="50"/>
      <c r="I117" s="50"/>
      <c r="J117" s="50"/>
      <c r="K117" s="50"/>
      <c r="L117" s="50"/>
      <c r="M117" s="50"/>
      <c r="N117" s="50"/>
      <c r="O117" s="50"/>
      <c r="P117" s="50"/>
      <c r="Q117" s="50"/>
      <c r="R117" s="50"/>
      <c r="S117" s="50"/>
      <c r="T117" s="50"/>
      <c r="U117" s="50"/>
      <c r="V117" s="50"/>
      <c r="W117" s="50"/>
      <c r="X117" s="50"/>
      <c r="Y117" s="50"/>
      <c r="Z117" s="50"/>
    </row>
    <row r="118" ht="12.75" customHeight="1">
      <c r="A118" s="50"/>
      <c r="B118" s="186"/>
      <c r="C118" s="187"/>
      <c r="D118" s="50"/>
      <c r="E118" s="187"/>
      <c r="F118" s="50"/>
      <c r="G118" s="187"/>
      <c r="H118" s="50"/>
      <c r="I118" s="50"/>
      <c r="J118" s="50"/>
      <c r="K118" s="50"/>
      <c r="L118" s="50"/>
      <c r="M118" s="50"/>
      <c r="N118" s="50"/>
      <c r="O118" s="50"/>
      <c r="P118" s="50"/>
      <c r="Q118" s="50"/>
      <c r="R118" s="50"/>
      <c r="S118" s="50"/>
      <c r="T118" s="50"/>
      <c r="U118" s="50"/>
      <c r="V118" s="50"/>
      <c r="W118" s="50"/>
      <c r="X118" s="50"/>
      <c r="Y118" s="50"/>
      <c r="Z118" s="50"/>
    </row>
    <row r="119" ht="12.75" customHeight="1">
      <c r="A119" s="50"/>
      <c r="B119" s="186"/>
      <c r="C119" s="187"/>
      <c r="D119" s="50"/>
      <c r="E119" s="187"/>
      <c r="F119" s="50"/>
      <c r="G119" s="187"/>
      <c r="H119" s="50"/>
      <c r="I119" s="50"/>
      <c r="J119" s="50"/>
      <c r="K119" s="50"/>
      <c r="L119" s="50"/>
      <c r="M119" s="50"/>
      <c r="N119" s="50"/>
      <c r="O119" s="50"/>
      <c r="P119" s="50"/>
      <c r="Q119" s="50"/>
      <c r="R119" s="50"/>
      <c r="S119" s="50"/>
      <c r="T119" s="50"/>
      <c r="U119" s="50"/>
      <c r="V119" s="50"/>
      <c r="W119" s="50"/>
      <c r="X119" s="50"/>
      <c r="Y119" s="50"/>
      <c r="Z119" s="50"/>
    </row>
    <row r="120" ht="12.75" customHeight="1">
      <c r="A120" s="50"/>
      <c r="B120" s="186"/>
      <c r="C120" s="187"/>
      <c r="D120" s="50"/>
      <c r="E120" s="187"/>
      <c r="F120" s="50"/>
      <c r="G120" s="187"/>
      <c r="H120" s="50"/>
      <c r="I120" s="50"/>
      <c r="J120" s="50"/>
      <c r="K120" s="50"/>
      <c r="L120" s="50"/>
      <c r="M120" s="50"/>
      <c r="N120" s="50"/>
      <c r="O120" s="50"/>
      <c r="P120" s="50"/>
      <c r="Q120" s="50"/>
      <c r="R120" s="50"/>
      <c r="S120" s="50"/>
      <c r="T120" s="50"/>
      <c r="U120" s="50"/>
      <c r="V120" s="50"/>
      <c r="W120" s="50"/>
      <c r="X120" s="50"/>
      <c r="Y120" s="50"/>
      <c r="Z120" s="50"/>
    </row>
    <row r="121" ht="12.75" customHeight="1">
      <c r="A121" s="50"/>
      <c r="B121" s="186"/>
      <c r="C121" s="187"/>
      <c r="D121" s="50"/>
      <c r="E121" s="187"/>
      <c r="F121" s="50"/>
      <c r="G121" s="187"/>
      <c r="H121" s="50"/>
      <c r="I121" s="50"/>
      <c r="J121" s="50"/>
      <c r="K121" s="50"/>
      <c r="L121" s="50"/>
      <c r="M121" s="50"/>
      <c r="N121" s="50"/>
      <c r="O121" s="50"/>
      <c r="P121" s="50"/>
      <c r="Q121" s="50"/>
      <c r="R121" s="50"/>
      <c r="S121" s="50"/>
      <c r="T121" s="50"/>
      <c r="U121" s="50"/>
      <c r="V121" s="50"/>
      <c r="W121" s="50"/>
      <c r="X121" s="50"/>
      <c r="Y121" s="50"/>
      <c r="Z121" s="50"/>
    </row>
    <row r="122" ht="12.75" customHeight="1">
      <c r="A122" s="50"/>
      <c r="B122" s="186"/>
      <c r="C122" s="187"/>
      <c r="D122" s="50"/>
      <c r="E122" s="187"/>
      <c r="F122" s="50"/>
      <c r="G122" s="187"/>
      <c r="H122" s="50"/>
      <c r="I122" s="50"/>
      <c r="J122" s="50"/>
      <c r="K122" s="50"/>
      <c r="L122" s="50"/>
      <c r="M122" s="50"/>
      <c r="N122" s="50"/>
      <c r="O122" s="50"/>
      <c r="P122" s="50"/>
      <c r="Q122" s="50"/>
      <c r="R122" s="50"/>
      <c r="S122" s="50"/>
      <c r="T122" s="50"/>
      <c r="U122" s="50"/>
      <c r="V122" s="50"/>
      <c r="W122" s="50"/>
      <c r="X122" s="50"/>
      <c r="Y122" s="50"/>
      <c r="Z122" s="50"/>
    </row>
    <row r="123" ht="12.75" customHeight="1">
      <c r="A123" s="50"/>
      <c r="B123" s="186"/>
      <c r="C123" s="187"/>
      <c r="D123" s="50"/>
      <c r="E123" s="187"/>
      <c r="F123" s="50"/>
      <c r="G123" s="187"/>
      <c r="H123" s="50"/>
      <c r="I123" s="50"/>
      <c r="J123" s="50"/>
      <c r="K123" s="50"/>
      <c r="L123" s="50"/>
      <c r="M123" s="50"/>
      <c r="N123" s="50"/>
      <c r="O123" s="50"/>
      <c r="P123" s="50"/>
      <c r="Q123" s="50"/>
      <c r="R123" s="50"/>
      <c r="S123" s="50"/>
      <c r="T123" s="50"/>
      <c r="U123" s="50"/>
      <c r="V123" s="50"/>
      <c r="W123" s="50"/>
      <c r="X123" s="50"/>
      <c r="Y123" s="50"/>
      <c r="Z123" s="50"/>
    </row>
    <row r="124" ht="12.75" customHeight="1">
      <c r="A124" s="50"/>
      <c r="B124" s="186"/>
      <c r="C124" s="187"/>
      <c r="D124" s="50"/>
      <c r="E124" s="187"/>
      <c r="F124" s="50"/>
      <c r="G124" s="187"/>
      <c r="H124" s="50"/>
      <c r="I124" s="50"/>
      <c r="J124" s="50"/>
      <c r="K124" s="50"/>
      <c r="L124" s="50"/>
      <c r="M124" s="50"/>
      <c r="N124" s="50"/>
      <c r="O124" s="50"/>
      <c r="P124" s="50"/>
      <c r="Q124" s="50"/>
      <c r="R124" s="50"/>
      <c r="S124" s="50"/>
      <c r="T124" s="50"/>
      <c r="U124" s="50"/>
      <c r="V124" s="50"/>
      <c r="W124" s="50"/>
      <c r="X124" s="50"/>
      <c r="Y124" s="50"/>
      <c r="Z124" s="50"/>
    </row>
    <row r="125" ht="12.75" customHeight="1">
      <c r="A125" s="50"/>
      <c r="B125" s="186"/>
      <c r="C125" s="187"/>
      <c r="D125" s="50"/>
      <c r="E125" s="187"/>
      <c r="F125" s="50"/>
      <c r="G125" s="187"/>
      <c r="H125" s="50"/>
      <c r="I125" s="50"/>
      <c r="J125" s="50"/>
      <c r="K125" s="50"/>
      <c r="L125" s="50"/>
      <c r="M125" s="50"/>
      <c r="N125" s="50"/>
      <c r="O125" s="50"/>
      <c r="P125" s="50"/>
      <c r="Q125" s="50"/>
      <c r="R125" s="50"/>
      <c r="S125" s="50"/>
      <c r="T125" s="50"/>
      <c r="U125" s="50"/>
      <c r="V125" s="50"/>
      <c r="W125" s="50"/>
      <c r="X125" s="50"/>
      <c r="Y125" s="50"/>
      <c r="Z125" s="50"/>
    </row>
    <row r="126" ht="12.75" customHeight="1">
      <c r="A126" s="50"/>
      <c r="B126" s="186"/>
      <c r="C126" s="187"/>
      <c r="D126" s="50"/>
      <c r="E126" s="187"/>
      <c r="F126" s="50"/>
      <c r="G126" s="187"/>
      <c r="H126" s="50"/>
      <c r="I126" s="50"/>
      <c r="J126" s="50"/>
      <c r="K126" s="50"/>
      <c r="L126" s="50"/>
      <c r="M126" s="50"/>
      <c r="N126" s="50"/>
      <c r="O126" s="50"/>
      <c r="P126" s="50"/>
      <c r="Q126" s="50"/>
      <c r="R126" s="50"/>
      <c r="S126" s="50"/>
      <c r="T126" s="50"/>
      <c r="U126" s="50"/>
      <c r="V126" s="50"/>
      <c r="W126" s="50"/>
      <c r="X126" s="50"/>
      <c r="Y126" s="50"/>
      <c r="Z126" s="50"/>
    </row>
    <row r="127" ht="12.75" customHeight="1">
      <c r="A127" s="50"/>
      <c r="B127" s="186"/>
      <c r="C127" s="187"/>
      <c r="D127" s="50"/>
      <c r="E127" s="187"/>
      <c r="F127" s="50"/>
      <c r="G127" s="187"/>
      <c r="H127" s="50"/>
      <c r="I127" s="50"/>
      <c r="J127" s="50"/>
      <c r="K127" s="50"/>
      <c r="L127" s="50"/>
      <c r="M127" s="50"/>
      <c r="N127" s="50"/>
      <c r="O127" s="50"/>
      <c r="P127" s="50"/>
      <c r="Q127" s="50"/>
      <c r="R127" s="50"/>
      <c r="S127" s="50"/>
      <c r="T127" s="50"/>
      <c r="U127" s="50"/>
      <c r="V127" s="50"/>
      <c r="W127" s="50"/>
      <c r="X127" s="50"/>
      <c r="Y127" s="50"/>
      <c r="Z127" s="50"/>
    </row>
    <row r="128" ht="12.75" customHeight="1">
      <c r="A128" s="50"/>
      <c r="B128" s="186"/>
      <c r="C128" s="187"/>
      <c r="D128" s="50"/>
      <c r="E128" s="187"/>
      <c r="F128" s="50"/>
      <c r="G128" s="187"/>
      <c r="H128" s="50"/>
      <c r="I128" s="50"/>
      <c r="J128" s="50"/>
      <c r="K128" s="50"/>
      <c r="L128" s="50"/>
      <c r="M128" s="50"/>
      <c r="N128" s="50"/>
      <c r="O128" s="50"/>
      <c r="P128" s="50"/>
      <c r="Q128" s="50"/>
      <c r="R128" s="50"/>
      <c r="S128" s="50"/>
      <c r="T128" s="50"/>
      <c r="U128" s="50"/>
      <c r="V128" s="50"/>
      <c r="W128" s="50"/>
      <c r="X128" s="50"/>
      <c r="Y128" s="50"/>
      <c r="Z128" s="50"/>
    </row>
    <row r="129" ht="12.75" customHeight="1">
      <c r="A129" s="50"/>
      <c r="B129" s="186"/>
      <c r="C129" s="187"/>
      <c r="D129" s="50"/>
      <c r="E129" s="187"/>
      <c r="F129" s="50"/>
      <c r="G129" s="187"/>
      <c r="H129" s="50"/>
      <c r="I129" s="50"/>
      <c r="J129" s="50"/>
      <c r="K129" s="50"/>
      <c r="L129" s="50"/>
      <c r="M129" s="50"/>
      <c r="N129" s="50"/>
      <c r="O129" s="50"/>
      <c r="P129" s="50"/>
      <c r="Q129" s="50"/>
      <c r="R129" s="50"/>
      <c r="S129" s="50"/>
      <c r="T129" s="50"/>
      <c r="U129" s="50"/>
      <c r="V129" s="50"/>
      <c r="W129" s="50"/>
      <c r="X129" s="50"/>
      <c r="Y129" s="50"/>
      <c r="Z129" s="50"/>
    </row>
    <row r="130" ht="12.75" customHeight="1">
      <c r="A130" s="50"/>
      <c r="B130" s="186"/>
      <c r="C130" s="187"/>
      <c r="D130" s="50"/>
      <c r="E130" s="187"/>
      <c r="F130" s="50"/>
      <c r="G130" s="187"/>
      <c r="H130" s="50"/>
      <c r="I130" s="50"/>
      <c r="J130" s="50"/>
      <c r="K130" s="50"/>
      <c r="L130" s="50"/>
      <c r="M130" s="50"/>
      <c r="N130" s="50"/>
      <c r="O130" s="50"/>
      <c r="P130" s="50"/>
      <c r="Q130" s="50"/>
      <c r="R130" s="50"/>
      <c r="S130" s="50"/>
      <c r="T130" s="50"/>
      <c r="U130" s="50"/>
      <c r="V130" s="50"/>
      <c r="W130" s="50"/>
      <c r="X130" s="50"/>
      <c r="Y130" s="50"/>
      <c r="Z130" s="50"/>
    </row>
    <row r="131" ht="12.75" customHeight="1">
      <c r="A131" s="50"/>
      <c r="B131" s="186"/>
      <c r="C131" s="187"/>
      <c r="D131" s="50"/>
      <c r="E131" s="187"/>
      <c r="F131" s="50"/>
      <c r="G131" s="187"/>
      <c r="H131" s="50"/>
      <c r="I131" s="50"/>
      <c r="J131" s="50"/>
      <c r="K131" s="50"/>
      <c r="L131" s="50"/>
      <c r="M131" s="50"/>
      <c r="N131" s="50"/>
      <c r="O131" s="50"/>
      <c r="P131" s="50"/>
      <c r="Q131" s="50"/>
      <c r="R131" s="50"/>
      <c r="S131" s="50"/>
      <c r="T131" s="50"/>
      <c r="U131" s="50"/>
      <c r="V131" s="50"/>
      <c r="W131" s="50"/>
      <c r="X131" s="50"/>
      <c r="Y131" s="50"/>
      <c r="Z131" s="50"/>
    </row>
    <row r="132" ht="12.75" customHeight="1">
      <c r="A132" s="50"/>
      <c r="B132" s="186"/>
      <c r="C132" s="187"/>
      <c r="D132" s="50"/>
      <c r="E132" s="187"/>
      <c r="F132" s="50"/>
      <c r="G132" s="187"/>
      <c r="H132" s="50"/>
      <c r="I132" s="50"/>
      <c r="J132" s="50"/>
      <c r="K132" s="50"/>
      <c r="L132" s="50"/>
      <c r="M132" s="50"/>
      <c r="N132" s="50"/>
      <c r="O132" s="50"/>
      <c r="P132" s="50"/>
      <c r="Q132" s="50"/>
      <c r="R132" s="50"/>
      <c r="S132" s="50"/>
      <c r="T132" s="50"/>
      <c r="U132" s="50"/>
      <c r="V132" s="50"/>
      <c r="W132" s="50"/>
      <c r="X132" s="50"/>
      <c r="Y132" s="50"/>
      <c r="Z132" s="50"/>
    </row>
    <row r="133" ht="12.75" customHeight="1">
      <c r="A133" s="50"/>
      <c r="B133" s="186"/>
      <c r="C133" s="187"/>
      <c r="D133" s="50"/>
      <c r="E133" s="187"/>
      <c r="F133" s="50"/>
      <c r="G133" s="187"/>
      <c r="H133" s="50"/>
      <c r="I133" s="50"/>
      <c r="J133" s="50"/>
      <c r="K133" s="50"/>
      <c r="L133" s="50"/>
      <c r="M133" s="50"/>
      <c r="N133" s="50"/>
      <c r="O133" s="50"/>
      <c r="P133" s="50"/>
      <c r="Q133" s="50"/>
      <c r="R133" s="50"/>
      <c r="S133" s="50"/>
      <c r="T133" s="50"/>
      <c r="U133" s="50"/>
      <c r="V133" s="50"/>
      <c r="W133" s="50"/>
      <c r="X133" s="50"/>
      <c r="Y133" s="50"/>
      <c r="Z133" s="50"/>
    </row>
    <row r="134" ht="12.75" customHeight="1">
      <c r="A134" s="50"/>
      <c r="B134" s="186"/>
      <c r="C134" s="187"/>
      <c r="D134" s="50"/>
      <c r="E134" s="187"/>
      <c r="F134" s="50"/>
      <c r="G134" s="187"/>
      <c r="H134" s="50"/>
      <c r="I134" s="50"/>
      <c r="J134" s="50"/>
      <c r="K134" s="50"/>
      <c r="L134" s="50"/>
      <c r="M134" s="50"/>
      <c r="N134" s="50"/>
      <c r="O134" s="50"/>
      <c r="P134" s="50"/>
      <c r="Q134" s="50"/>
      <c r="R134" s="50"/>
      <c r="S134" s="50"/>
      <c r="T134" s="50"/>
      <c r="U134" s="50"/>
      <c r="V134" s="50"/>
      <c r="W134" s="50"/>
      <c r="X134" s="50"/>
      <c r="Y134" s="50"/>
      <c r="Z134" s="50"/>
    </row>
    <row r="135" ht="12.75" customHeight="1">
      <c r="A135" s="50"/>
      <c r="B135" s="186"/>
      <c r="C135" s="187"/>
      <c r="D135" s="50"/>
      <c r="E135" s="187"/>
      <c r="F135" s="50"/>
      <c r="G135" s="187"/>
      <c r="H135" s="50"/>
      <c r="I135" s="50"/>
      <c r="J135" s="50"/>
      <c r="K135" s="50"/>
      <c r="L135" s="50"/>
      <c r="M135" s="50"/>
      <c r="N135" s="50"/>
      <c r="O135" s="50"/>
      <c r="P135" s="50"/>
      <c r="Q135" s="50"/>
      <c r="R135" s="50"/>
      <c r="S135" s="50"/>
      <c r="T135" s="50"/>
      <c r="U135" s="50"/>
      <c r="V135" s="50"/>
      <c r="W135" s="50"/>
      <c r="X135" s="50"/>
      <c r="Y135" s="50"/>
      <c r="Z135" s="50"/>
    </row>
    <row r="136" ht="12.75" customHeight="1">
      <c r="A136" s="50"/>
      <c r="B136" s="186"/>
      <c r="C136" s="187"/>
      <c r="D136" s="50"/>
      <c r="E136" s="187"/>
      <c r="F136" s="50"/>
      <c r="G136" s="187"/>
      <c r="H136" s="50"/>
      <c r="I136" s="50"/>
      <c r="J136" s="50"/>
      <c r="K136" s="50"/>
      <c r="L136" s="50"/>
      <c r="M136" s="50"/>
      <c r="N136" s="50"/>
      <c r="O136" s="50"/>
      <c r="P136" s="50"/>
      <c r="Q136" s="50"/>
      <c r="R136" s="50"/>
      <c r="S136" s="50"/>
      <c r="T136" s="50"/>
      <c r="U136" s="50"/>
      <c r="V136" s="50"/>
      <c r="W136" s="50"/>
      <c r="X136" s="50"/>
      <c r="Y136" s="50"/>
      <c r="Z136" s="50"/>
    </row>
    <row r="137" ht="12.75" customHeight="1">
      <c r="A137" s="50"/>
      <c r="B137" s="186"/>
      <c r="C137" s="187"/>
      <c r="D137" s="50"/>
      <c r="E137" s="187"/>
      <c r="F137" s="50"/>
      <c r="G137" s="187"/>
      <c r="H137" s="50"/>
      <c r="I137" s="50"/>
      <c r="J137" s="50"/>
      <c r="K137" s="50"/>
      <c r="L137" s="50"/>
      <c r="M137" s="50"/>
      <c r="N137" s="50"/>
      <c r="O137" s="50"/>
      <c r="P137" s="50"/>
      <c r="Q137" s="50"/>
      <c r="R137" s="50"/>
      <c r="S137" s="50"/>
      <c r="T137" s="50"/>
      <c r="U137" s="50"/>
      <c r="V137" s="50"/>
      <c r="W137" s="50"/>
      <c r="X137" s="50"/>
      <c r="Y137" s="50"/>
      <c r="Z137" s="50"/>
    </row>
    <row r="138" ht="12.75" customHeight="1">
      <c r="A138" s="50"/>
      <c r="B138" s="186"/>
      <c r="C138" s="187"/>
      <c r="D138" s="50"/>
      <c r="E138" s="187"/>
      <c r="F138" s="50"/>
      <c r="G138" s="187"/>
      <c r="H138" s="50"/>
      <c r="I138" s="50"/>
      <c r="J138" s="50"/>
      <c r="K138" s="50"/>
      <c r="L138" s="50"/>
      <c r="M138" s="50"/>
      <c r="N138" s="50"/>
      <c r="O138" s="50"/>
      <c r="P138" s="50"/>
      <c r="Q138" s="50"/>
      <c r="R138" s="50"/>
      <c r="S138" s="50"/>
      <c r="T138" s="50"/>
      <c r="U138" s="50"/>
      <c r="V138" s="50"/>
      <c r="W138" s="50"/>
      <c r="X138" s="50"/>
      <c r="Y138" s="50"/>
      <c r="Z138" s="50"/>
    </row>
    <row r="139" ht="12.75" customHeight="1">
      <c r="B139" s="206"/>
      <c r="C139" s="187"/>
      <c r="E139" s="207"/>
      <c r="G139" s="207"/>
    </row>
    <row r="140" ht="12.75" customHeight="1">
      <c r="B140" s="206"/>
      <c r="C140" s="187"/>
      <c r="E140" s="207"/>
      <c r="G140" s="207"/>
    </row>
    <row r="141" ht="12.75" customHeight="1">
      <c r="B141" s="206"/>
      <c r="C141" s="187"/>
      <c r="E141" s="207"/>
      <c r="G141" s="207"/>
    </row>
    <row r="142" ht="12.75" customHeight="1">
      <c r="B142" s="206"/>
      <c r="C142" s="187"/>
      <c r="E142" s="207"/>
      <c r="G142" s="207"/>
    </row>
    <row r="143" ht="12.75" customHeight="1">
      <c r="B143" s="206"/>
      <c r="C143" s="187"/>
      <c r="E143" s="207"/>
      <c r="G143" s="207"/>
    </row>
    <row r="144" ht="12.75" customHeight="1">
      <c r="B144" s="206"/>
      <c r="C144" s="187"/>
      <c r="E144" s="207"/>
      <c r="G144" s="207"/>
    </row>
    <row r="145" ht="12.75" customHeight="1">
      <c r="B145" s="206"/>
      <c r="C145" s="187"/>
      <c r="E145" s="207"/>
      <c r="G145" s="207"/>
    </row>
    <row r="146" ht="12.75" customHeight="1">
      <c r="B146" s="206"/>
      <c r="C146" s="187"/>
      <c r="E146" s="207"/>
      <c r="G146" s="207"/>
    </row>
    <row r="147" ht="12.75" customHeight="1">
      <c r="B147" s="206"/>
      <c r="C147" s="187"/>
      <c r="E147" s="207"/>
      <c r="G147" s="207"/>
    </row>
    <row r="148" ht="12.75" customHeight="1">
      <c r="B148" s="206"/>
      <c r="C148" s="187"/>
      <c r="E148" s="207"/>
      <c r="G148" s="207"/>
    </row>
    <row r="149" ht="12.75" customHeight="1">
      <c r="B149" s="206"/>
      <c r="C149" s="187"/>
      <c r="E149" s="207"/>
      <c r="G149" s="207"/>
    </row>
    <row r="150" ht="12.75" customHeight="1">
      <c r="B150" s="206"/>
      <c r="C150" s="187"/>
      <c r="E150" s="207"/>
      <c r="G150" s="207"/>
    </row>
    <row r="151" ht="12.75" customHeight="1">
      <c r="B151" s="206"/>
      <c r="C151" s="187"/>
      <c r="E151" s="207"/>
      <c r="G151" s="207"/>
    </row>
    <row r="152" ht="12.75" customHeight="1">
      <c r="B152" s="206"/>
      <c r="C152" s="187"/>
      <c r="E152" s="207"/>
      <c r="G152" s="207"/>
    </row>
    <row r="153" ht="12.75" customHeight="1">
      <c r="B153" s="206"/>
      <c r="C153" s="187"/>
      <c r="E153" s="207"/>
      <c r="G153" s="207"/>
    </row>
    <row r="154" ht="12.75" customHeight="1">
      <c r="B154" s="206"/>
      <c r="C154" s="187"/>
      <c r="E154" s="207"/>
      <c r="G154" s="207"/>
    </row>
    <row r="155" ht="12.75" customHeight="1">
      <c r="B155" s="206"/>
      <c r="C155" s="187"/>
      <c r="E155" s="207"/>
      <c r="G155" s="207"/>
    </row>
    <row r="156" ht="12.75" customHeight="1">
      <c r="B156" s="206"/>
      <c r="C156" s="187"/>
      <c r="E156" s="207"/>
      <c r="G156" s="207"/>
    </row>
    <row r="157" ht="12.75" customHeight="1">
      <c r="B157" s="206"/>
      <c r="C157" s="187"/>
      <c r="E157" s="207"/>
      <c r="G157" s="207"/>
    </row>
    <row r="158" ht="12.75" customHeight="1">
      <c r="B158" s="206"/>
      <c r="C158" s="187"/>
      <c r="E158" s="207"/>
      <c r="G158" s="207"/>
    </row>
    <row r="159" ht="12.75" customHeight="1">
      <c r="B159" s="206"/>
      <c r="C159" s="187"/>
      <c r="E159" s="207"/>
      <c r="G159" s="207"/>
    </row>
    <row r="160" ht="12.75" customHeight="1">
      <c r="B160" s="206"/>
      <c r="C160" s="187"/>
      <c r="E160" s="207"/>
      <c r="G160" s="207"/>
    </row>
    <row r="161" ht="12.75" customHeight="1">
      <c r="B161" s="206"/>
      <c r="C161" s="187"/>
      <c r="E161" s="207"/>
      <c r="G161" s="207"/>
    </row>
    <row r="162" ht="12.75" customHeight="1">
      <c r="B162" s="206"/>
      <c r="C162" s="187"/>
      <c r="E162" s="207"/>
      <c r="G162" s="207"/>
    </row>
    <row r="163" ht="12.75" customHeight="1">
      <c r="B163" s="206"/>
      <c r="C163" s="187"/>
      <c r="E163" s="207"/>
      <c r="G163" s="207"/>
    </row>
    <row r="164" ht="12.75" customHeight="1">
      <c r="B164" s="206"/>
      <c r="C164" s="187"/>
      <c r="E164" s="207"/>
      <c r="G164" s="207"/>
    </row>
    <row r="165" ht="12.75" customHeight="1">
      <c r="B165" s="206"/>
      <c r="C165" s="187"/>
      <c r="E165" s="207"/>
      <c r="G165" s="207"/>
    </row>
    <row r="166" ht="12.75" customHeight="1">
      <c r="B166" s="206"/>
      <c r="C166" s="187"/>
      <c r="E166" s="207"/>
      <c r="G166" s="207"/>
    </row>
    <row r="167" ht="12.75" customHeight="1">
      <c r="B167" s="206"/>
      <c r="C167" s="187"/>
      <c r="E167" s="207"/>
      <c r="G167" s="207"/>
    </row>
    <row r="168" ht="12.75" customHeight="1">
      <c r="B168" s="206"/>
      <c r="C168" s="187"/>
      <c r="E168" s="207"/>
      <c r="G168" s="207"/>
    </row>
    <row r="169" ht="12.75" customHeight="1">
      <c r="B169" s="206"/>
      <c r="C169" s="187"/>
      <c r="E169" s="207"/>
      <c r="G169" s="207"/>
    </row>
    <row r="170" ht="12.75" customHeight="1">
      <c r="B170" s="206"/>
      <c r="C170" s="187"/>
      <c r="E170" s="207"/>
      <c r="G170" s="207"/>
    </row>
    <row r="171" ht="12.75" customHeight="1">
      <c r="B171" s="206"/>
      <c r="C171" s="187"/>
      <c r="E171" s="207"/>
      <c r="G171" s="207"/>
    </row>
    <row r="172" ht="12.75" customHeight="1">
      <c r="B172" s="206"/>
      <c r="C172" s="187"/>
      <c r="E172" s="207"/>
      <c r="G172" s="207"/>
    </row>
    <row r="173" ht="12.75" customHeight="1">
      <c r="B173" s="206"/>
      <c r="C173" s="187"/>
      <c r="E173" s="207"/>
      <c r="G173" s="207"/>
    </row>
    <row r="174" ht="12.75" customHeight="1">
      <c r="B174" s="206"/>
      <c r="C174" s="187"/>
      <c r="E174" s="207"/>
      <c r="G174" s="207"/>
    </row>
    <row r="175" ht="12.75" customHeight="1">
      <c r="B175" s="206"/>
      <c r="C175" s="187"/>
      <c r="E175" s="207"/>
      <c r="G175" s="207"/>
    </row>
    <row r="176" ht="12.75" customHeight="1">
      <c r="B176" s="206"/>
      <c r="C176" s="187"/>
      <c r="E176" s="207"/>
      <c r="G176" s="207"/>
    </row>
    <row r="177" ht="12.75" customHeight="1">
      <c r="B177" s="206"/>
      <c r="C177" s="187"/>
      <c r="E177" s="207"/>
      <c r="G177" s="207"/>
    </row>
    <row r="178" ht="12.75" customHeight="1">
      <c r="B178" s="206"/>
      <c r="C178" s="187"/>
      <c r="E178" s="207"/>
      <c r="G178" s="207"/>
    </row>
    <row r="179" ht="12.75" customHeight="1">
      <c r="B179" s="206"/>
      <c r="C179" s="187"/>
      <c r="E179" s="207"/>
      <c r="G179" s="207"/>
    </row>
    <row r="180" ht="12.75" customHeight="1">
      <c r="B180" s="206"/>
      <c r="C180" s="187"/>
      <c r="E180" s="207"/>
      <c r="G180" s="207"/>
    </row>
    <row r="181" ht="12.75" customHeight="1">
      <c r="B181" s="206"/>
      <c r="C181" s="187"/>
      <c r="E181" s="207"/>
      <c r="G181" s="207"/>
    </row>
    <row r="182" ht="12.75" customHeight="1">
      <c r="B182" s="206"/>
      <c r="C182" s="187"/>
      <c r="E182" s="207"/>
      <c r="G182" s="207"/>
    </row>
    <row r="183" ht="12.75" customHeight="1">
      <c r="B183" s="206"/>
      <c r="C183" s="187"/>
      <c r="E183" s="207"/>
      <c r="G183" s="207"/>
    </row>
    <row r="184" ht="12.75" customHeight="1">
      <c r="B184" s="206"/>
      <c r="C184" s="187"/>
      <c r="E184" s="207"/>
      <c r="G184" s="207"/>
    </row>
    <row r="185" ht="12.75" customHeight="1">
      <c r="B185" s="206"/>
      <c r="C185" s="187"/>
      <c r="E185" s="207"/>
      <c r="G185" s="207"/>
    </row>
    <row r="186" ht="12.75" customHeight="1">
      <c r="B186" s="206"/>
      <c r="C186" s="187"/>
      <c r="E186" s="207"/>
      <c r="G186" s="207"/>
    </row>
    <row r="187" ht="12.75" customHeight="1">
      <c r="B187" s="206"/>
      <c r="C187" s="187"/>
      <c r="E187" s="207"/>
      <c r="G187" s="207"/>
    </row>
    <row r="188" ht="12.75" customHeight="1">
      <c r="B188" s="206"/>
      <c r="C188" s="187"/>
      <c r="E188" s="207"/>
      <c r="G188" s="207"/>
    </row>
    <row r="189" ht="12.75" customHeight="1">
      <c r="B189" s="206"/>
      <c r="C189" s="187"/>
      <c r="E189" s="207"/>
      <c r="G189" s="207"/>
    </row>
    <row r="190" ht="12.75" customHeight="1">
      <c r="B190" s="206"/>
      <c r="C190" s="187"/>
      <c r="E190" s="207"/>
      <c r="G190" s="207"/>
    </row>
    <row r="191" ht="12.75" customHeight="1">
      <c r="B191" s="206"/>
      <c r="C191" s="187"/>
      <c r="E191" s="207"/>
      <c r="G191" s="207"/>
    </row>
    <row r="192" ht="12.75" customHeight="1">
      <c r="B192" s="206"/>
      <c r="C192" s="187"/>
      <c r="E192" s="207"/>
      <c r="G192" s="207"/>
    </row>
    <row r="193" ht="12.75" customHeight="1">
      <c r="B193" s="206"/>
      <c r="C193" s="187"/>
      <c r="E193" s="207"/>
      <c r="G193" s="207"/>
    </row>
    <row r="194" ht="12.75" customHeight="1">
      <c r="B194" s="206"/>
      <c r="C194" s="187"/>
      <c r="E194" s="207"/>
      <c r="G194" s="207"/>
    </row>
    <row r="195" ht="12.75" customHeight="1">
      <c r="B195" s="206"/>
      <c r="C195" s="187"/>
      <c r="E195" s="207"/>
      <c r="G195" s="207"/>
    </row>
    <row r="196" ht="12.75" customHeight="1">
      <c r="B196" s="206"/>
      <c r="C196" s="187"/>
      <c r="E196" s="207"/>
      <c r="G196" s="207"/>
    </row>
    <row r="197" ht="12.75" customHeight="1">
      <c r="B197" s="206"/>
      <c r="C197" s="187"/>
      <c r="E197" s="207"/>
      <c r="G197" s="207"/>
    </row>
    <row r="198" ht="12.75" customHeight="1">
      <c r="B198" s="206"/>
      <c r="C198" s="187"/>
      <c r="E198" s="207"/>
      <c r="G198" s="207"/>
    </row>
    <row r="199" ht="12.75" customHeight="1">
      <c r="B199" s="206"/>
      <c r="C199" s="187"/>
      <c r="E199" s="207"/>
      <c r="G199" s="207"/>
    </row>
    <row r="200" ht="12.75" customHeight="1">
      <c r="B200" s="206"/>
      <c r="C200" s="187"/>
      <c r="E200" s="207"/>
      <c r="G200" s="207"/>
    </row>
    <row r="201" ht="12.75" customHeight="1">
      <c r="B201" s="206"/>
      <c r="C201" s="187"/>
      <c r="E201" s="207"/>
      <c r="G201" s="207"/>
    </row>
    <row r="202" ht="12.75" customHeight="1">
      <c r="B202" s="206"/>
      <c r="C202" s="187"/>
      <c r="E202" s="207"/>
      <c r="G202" s="207"/>
    </row>
    <row r="203" ht="12.75" customHeight="1">
      <c r="B203" s="206"/>
      <c r="C203" s="187"/>
      <c r="E203" s="207"/>
      <c r="G203" s="207"/>
    </row>
    <row r="204" ht="12.75" customHeight="1">
      <c r="B204" s="206"/>
      <c r="C204" s="187"/>
      <c r="E204" s="207"/>
      <c r="G204" s="207"/>
    </row>
    <row r="205" ht="12.75" customHeight="1">
      <c r="B205" s="206"/>
      <c r="C205" s="187"/>
      <c r="E205" s="207"/>
      <c r="G205" s="207"/>
    </row>
    <row r="206" ht="12.75" customHeight="1">
      <c r="B206" s="206"/>
      <c r="C206" s="187"/>
      <c r="E206" s="207"/>
      <c r="G206" s="207"/>
    </row>
    <row r="207" ht="12.75" customHeight="1">
      <c r="B207" s="206"/>
      <c r="C207" s="187"/>
      <c r="E207" s="207"/>
      <c r="G207" s="207"/>
    </row>
    <row r="208" ht="12.75" customHeight="1">
      <c r="B208" s="206"/>
      <c r="C208" s="187"/>
      <c r="E208" s="207"/>
      <c r="G208" s="207"/>
    </row>
    <row r="209" ht="12.75" customHeight="1">
      <c r="B209" s="206"/>
      <c r="C209" s="187"/>
      <c r="E209" s="207"/>
      <c r="G209" s="207"/>
    </row>
    <row r="210" ht="12.75" customHeight="1">
      <c r="B210" s="206"/>
      <c r="C210" s="187"/>
      <c r="E210" s="207"/>
      <c r="G210" s="207"/>
    </row>
    <row r="211" ht="12.75" customHeight="1">
      <c r="B211" s="206"/>
      <c r="C211" s="187"/>
      <c r="E211" s="207"/>
      <c r="G211" s="207"/>
    </row>
    <row r="212" ht="12.75" customHeight="1">
      <c r="B212" s="206"/>
      <c r="C212" s="187"/>
      <c r="E212" s="207"/>
      <c r="G212" s="207"/>
    </row>
    <row r="213" ht="12.75" customHeight="1">
      <c r="B213" s="206"/>
      <c r="C213" s="187"/>
      <c r="E213" s="207"/>
      <c r="G213" s="207"/>
    </row>
    <row r="214" ht="12.75" customHeight="1">
      <c r="B214" s="206"/>
      <c r="C214" s="187"/>
      <c r="E214" s="207"/>
      <c r="G214" s="207"/>
    </row>
    <row r="215" ht="12.75" customHeight="1">
      <c r="B215" s="206"/>
      <c r="C215" s="187"/>
      <c r="E215" s="207"/>
      <c r="G215" s="207"/>
    </row>
    <row r="216" ht="12.75" customHeight="1">
      <c r="B216" s="206"/>
      <c r="C216" s="187"/>
      <c r="E216" s="207"/>
      <c r="G216" s="207"/>
    </row>
    <row r="217" ht="12.75" customHeight="1">
      <c r="B217" s="206"/>
      <c r="C217" s="187"/>
      <c r="E217" s="207"/>
      <c r="G217" s="207"/>
    </row>
    <row r="218" ht="12.75" customHeight="1">
      <c r="B218" s="206"/>
      <c r="C218" s="187"/>
      <c r="E218" s="207"/>
      <c r="G218" s="207"/>
    </row>
    <row r="219" ht="12.75" customHeight="1">
      <c r="B219" s="206"/>
      <c r="C219" s="187"/>
      <c r="E219" s="207"/>
      <c r="G219" s="207"/>
    </row>
    <row r="220" ht="12.75" customHeight="1">
      <c r="B220" s="206"/>
      <c r="C220" s="187"/>
      <c r="E220" s="207"/>
      <c r="G220" s="207"/>
    </row>
    <row r="221" ht="12.75" customHeight="1">
      <c r="B221" s="206"/>
      <c r="C221" s="187"/>
      <c r="E221" s="207"/>
      <c r="G221" s="207"/>
    </row>
    <row r="222" ht="12.75" customHeight="1">
      <c r="B222" s="206"/>
      <c r="C222" s="187"/>
      <c r="E222" s="207"/>
      <c r="G222" s="207"/>
    </row>
    <row r="223" ht="12.75" customHeight="1">
      <c r="B223" s="206"/>
      <c r="C223" s="187"/>
      <c r="E223" s="207"/>
      <c r="G223" s="207"/>
    </row>
    <row r="224" ht="12.75" customHeight="1">
      <c r="B224" s="206"/>
      <c r="C224" s="187"/>
      <c r="E224" s="207"/>
      <c r="G224" s="207"/>
    </row>
    <row r="225" ht="12.75" customHeight="1">
      <c r="B225" s="206"/>
      <c r="C225" s="187"/>
      <c r="E225" s="207"/>
      <c r="G225" s="207"/>
    </row>
    <row r="226" ht="12.75" customHeight="1">
      <c r="B226" s="206"/>
      <c r="C226" s="187"/>
      <c r="E226" s="207"/>
      <c r="G226" s="207"/>
    </row>
    <row r="227" ht="12.75" customHeight="1">
      <c r="B227" s="206"/>
      <c r="C227" s="187"/>
      <c r="E227" s="207"/>
      <c r="G227" s="207"/>
    </row>
    <row r="228" ht="12.75" customHeight="1">
      <c r="B228" s="206"/>
      <c r="C228" s="187"/>
      <c r="E228" s="207"/>
      <c r="G228" s="207"/>
    </row>
    <row r="229" ht="12.75" customHeight="1">
      <c r="B229" s="206"/>
      <c r="C229" s="187"/>
      <c r="E229" s="207"/>
      <c r="G229" s="207"/>
    </row>
    <row r="230" ht="12.75" customHeight="1">
      <c r="B230" s="206"/>
      <c r="C230" s="187"/>
      <c r="E230" s="207"/>
      <c r="G230" s="207"/>
    </row>
    <row r="231" ht="12.75" customHeight="1">
      <c r="B231" s="206"/>
      <c r="C231" s="187"/>
      <c r="E231" s="207"/>
      <c r="G231" s="207"/>
    </row>
    <row r="232" ht="12.75" customHeight="1">
      <c r="B232" s="206"/>
      <c r="C232" s="187"/>
      <c r="E232" s="207"/>
      <c r="G232" s="207"/>
    </row>
    <row r="233" ht="12.75" customHeight="1">
      <c r="B233" s="206"/>
      <c r="C233" s="187"/>
      <c r="E233" s="207"/>
      <c r="G233" s="207"/>
    </row>
    <row r="234" ht="12.75" customHeight="1">
      <c r="B234" s="206"/>
      <c r="C234" s="187"/>
      <c r="E234" s="207"/>
      <c r="G234" s="207"/>
    </row>
    <row r="235" ht="12.75" customHeight="1">
      <c r="B235" s="206"/>
      <c r="C235" s="187"/>
      <c r="E235" s="207"/>
      <c r="G235" s="207"/>
    </row>
    <row r="236" ht="12.75" customHeight="1">
      <c r="B236" s="206"/>
      <c r="C236" s="187"/>
      <c r="E236" s="207"/>
      <c r="G236" s="207"/>
    </row>
    <row r="237" ht="12.75" customHeight="1">
      <c r="B237" s="206"/>
      <c r="C237" s="187"/>
      <c r="E237" s="207"/>
      <c r="G237" s="207"/>
    </row>
    <row r="238" ht="12.75" customHeight="1">
      <c r="B238" s="206"/>
      <c r="C238" s="187"/>
      <c r="E238" s="207"/>
      <c r="G238" s="207"/>
    </row>
    <row r="239" ht="12.75" customHeight="1">
      <c r="B239" s="206"/>
      <c r="C239" s="187"/>
      <c r="E239" s="207"/>
      <c r="G239" s="207"/>
    </row>
    <row r="240" ht="12.75" customHeight="1">
      <c r="B240" s="206"/>
      <c r="C240" s="187"/>
      <c r="E240" s="207"/>
      <c r="G240" s="207"/>
    </row>
    <row r="241" ht="12.75" customHeight="1">
      <c r="B241" s="206"/>
      <c r="C241" s="187"/>
      <c r="E241" s="207"/>
      <c r="G241" s="207"/>
    </row>
    <row r="242" ht="12.75" customHeight="1">
      <c r="B242" s="206"/>
      <c r="C242" s="187"/>
      <c r="E242" s="207"/>
      <c r="G242" s="207"/>
    </row>
    <row r="243" ht="12.75" customHeight="1">
      <c r="B243" s="206"/>
      <c r="C243" s="187"/>
      <c r="E243" s="207"/>
      <c r="G243" s="207"/>
    </row>
    <row r="244" ht="12.75" customHeight="1">
      <c r="B244" s="206"/>
      <c r="C244" s="187"/>
      <c r="E244" s="207"/>
      <c r="G244" s="207"/>
    </row>
    <row r="245" ht="12.75" customHeight="1">
      <c r="B245" s="206"/>
      <c r="C245" s="187"/>
      <c r="E245" s="207"/>
      <c r="G245" s="207"/>
    </row>
    <row r="246" ht="12.75" customHeight="1">
      <c r="B246" s="206"/>
      <c r="C246" s="187"/>
      <c r="E246" s="207"/>
      <c r="G246" s="207"/>
    </row>
    <row r="247" ht="12.75" customHeight="1">
      <c r="B247" s="206"/>
      <c r="C247" s="187"/>
      <c r="E247" s="207"/>
      <c r="G247" s="207"/>
    </row>
    <row r="248" ht="12.75" customHeight="1">
      <c r="B248" s="206"/>
      <c r="C248" s="187"/>
      <c r="E248" s="207"/>
      <c r="G248" s="207"/>
    </row>
    <row r="249" ht="12.75" customHeight="1">
      <c r="B249" s="206"/>
      <c r="C249" s="187"/>
      <c r="E249" s="207"/>
      <c r="G249" s="207"/>
    </row>
    <row r="250" ht="12.75" customHeight="1">
      <c r="B250" s="206"/>
      <c r="C250" s="187"/>
      <c r="E250" s="207"/>
      <c r="G250" s="207"/>
    </row>
    <row r="251" ht="12.75" customHeight="1">
      <c r="B251" s="206"/>
      <c r="C251" s="187"/>
      <c r="E251" s="207"/>
      <c r="G251" s="207"/>
    </row>
    <row r="252" ht="12.75" customHeight="1">
      <c r="B252" s="206"/>
      <c r="C252" s="187"/>
      <c r="E252" s="207"/>
      <c r="G252" s="207"/>
    </row>
    <row r="253" ht="12.75" customHeight="1">
      <c r="B253" s="206"/>
      <c r="C253" s="187"/>
      <c r="E253" s="207"/>
      <c r="G253" s="207"/>
    </row>
    <row r="254" ht="12.75" customHeight="1">
      <c r="B254" s="206"/>
      <c r="C254" s="187"/>
      <c r="E254" s="207"/>
      <c r="G254" s="207"/>
    </row>
    <row r="255" ht="12.75" customHeight="1">
      <c r="B255" s="206"/>
      <c r="C255" s="187"/>
      <c r="E255" s="207"/>
      <c r="G255" s="207"/>
    </row>
    <row r="256" ht="12.75" customHeight="1">
      <c r="B256" s="206"/>
      <c r="C256" s="187"/>
      <c r="E256" s="207"/>
      <c r="G256" s="207"/>
    </row>
    <row r="257" ht="12.75" customHeight="1">
      <c r="B257" s="206"/>
      <c r="C257" s="187"/>
      <c r="E257" s="207"/>
      <c r="G257" s="207"/>
    </row>
    <row r="258" ht="12.75" customHeight="1">
      <c r="B258" s="206"/>
      <c r="C258" s="187"/>
      <c r="E258" s="207"/>
      <c r="G258" s="207"/>
    </row>
    <row r="259" ht="12.75" customHeight="1">
      <c r="B259" s="206"/>
      <c r="C259" s="187"/>
      <c r="E259" s="207"/>
      <c r="G259" s="207"/>
    </row>
    <row r="260" ht="12.75" customHeight="1">
      <c r="B260" s="206"/>
      <c r="C260" s="187"/>
      <c r="E260" s="207"/>
      <c r="G260" s="207"/>
    </row>
    <row r="261" ht="12.75" customHeight="1">
      <c r="B261" s="206"/>
      <c r="C261" s="187"/>
      <c r="E261" s="207"/>
      <c r="G261" s="207"/>
    </row>
    <row r="262" ht="12.75" customHeight="1">
      <c r="B262" s="206"/>
      <c r="C262" s="187"/>
      <c r="E262" s="207"/>
      <c r="G262" s="207"/>
    </row>
    <row r="263" ht="12.75" customHeight="1">
      <c r="B263" s="206"/>
      <c r="C263" s="187"/>
      <c r="E263" s="207"/>
      <c r="G263" s="207"/>
    </row>
    <row r="264" ht="12.75" customHeight="1">
      <c r="B264" s="206"/>
      <c r="C264" s="187"/>
      <c r="E264" s="207"/>
      <c r="G264" s="207"/>
    </row>
    <row r="265" ht="12.75" customHeight="1">
      <c r="B265" s="206"/>
      <c r="C265" s="187"/>
      <c r="E265" s="207"/>
      <c r="G265" s="207"/>
    </row>
    <row r="266" ht="12.75" customHeight="1">
      <c r="B266" s="206"/>
      <c r="C266" s="187"/>
      <c r="E266" s="207"/>
      <c r="G266" s="207"/>
    </row>
    <row r="267" ht="12.75" customHeight="1">
      <c r="B267" s="206"/>
      <c r="C267" s="187"/>
      <c r="E267" s="207"/>
      <c r="G267" s="207"/>
    </row>
    <row r="268" ht="12.75" customHeight="1">
      <c r="B268" s="206"/>
      <c r="C268" s="187"/>
      <c r="E268" s="207"/>
      <c r="G268" s="207"/>
    </row>
    <row r="269" ht="12.75" customHeight="1">
      <c r="B269" s="206"/>
      <c r="C269" s="187"/>
      <c r="E269" s="207"/>
      <c r="G269" s="207"/>
    </row>
    <row r="270" ht="12.75" customHeight="1">
      <c r="B270" s="206"/>
      <c r="C270" s="187"/>
      <c r="E270" s="207"/>
      <c r="G270" s="207"/>
    </row>
    <row r="271" ht="12.75" customHeight="1">
      <c r="B271" s="206"/>
      <c r="C271" s="187"/>
      <c r="E271" s="207"/>
      <c r="G271" s="207"/>
    </row>
    <row r="272" ht="12.75" customHeight="1">
      <c r="B272" s="206"/>
      <c r="C272" s="187"/>
      <c r="E272" s="207"/>
      <c r="G272" s="207"/>
    </row>
    <row r="273" ht="12.75" customHeight="1">
      <c r="B273" s="206"/>
      <c r="C273" s="187"/>
      <c r="E273" s="207"/>
      <c r="G273" s="207"/>
    </row>
    <row r="274" ht="12.75" customHeight="1">
      <c r="B274" s="206"/>
      <c r="C274" s="187"/>
      <c r="E274" s="207"/>
      <c r="G274" s="207"/>
    </row>
    <row r="275" ht="12.75" customHeight="1">
      <c r="B275" s="206"/>
      <c r="C275" s="187"/>
      <c r="E275" s="207"/>
      <c r="G275" s="207"/>
    </row>
    <row r="276" ht="12.75" customHeight="1">
      <c r="B276" s="206"/>
      <c r="C276" s="187"/>
      <c r="E276" s="207"/>
      <c r="G276" s="207"/>
    </row>
    <row r="277" ht="12.75" customHeight="1">
      <c r="B277" s="206"/>
      <c r="C277" s="187"/>
      <c r="E277" s="207"/>
      <c r="G277" s="207"/>
    </row>
    <row r="278" ht="12.75" customHeight="1">
      <c r="B278" s="206"/>
      <c r="C278" s="187"/>
      <c r="E278" s="207"/>
      <c r="G278" s="207"/>
    </row>
    <row r="279" ht="12.75" customHeight="1">
      <c r="B279" s="206"/>
      <c r="C279" s="187"/>
      <c r="E279" s="207"/>
      <c r="G279" s="207"/>
    </row>
    <row r="280" ht="12.75" customHeight="1">
      <c r="B280" s="206"/>
      <c r="C280" s="187"/>
      <c r="E280" s="207"/>
      <c r="G280" s="207"/>
    </row>
    <row r="281" ht="12.75" customHeight="1">
      <c r="B281" s="206"/>
      <c r="C281" s="187"/>
      <c r="E281" s="207"/>
      <c r="G281" s="207"/>
    </row>
    <row r="282" ht="12.75" customHeight="1">
      <c r="B282" s="206"/>
      <c r="C282" s="187"/>
      <c r="E282" s="207"/>
      <c r="G282" s="207"/>
    </row>
    <row r="283" ht="12.75" customHeight="1">
      <c r="B283" s="206"/>
      <c r="C283" s="187"/>
      <c r="E283" s="207"/>
      <c r="G283" s="207"/>
    </row>
    <row r="284" ht="12.75" customHeight="1">
      <c r="B284" s="206"/>
      <c r="C284" s="187"/>
      <c r="E284" s="207"/>
      <c r="G284" s="207"/>
    </row>
    <row r="285" ht="12.75" customHeight="1">
      <c r="B285" s="206"/>
      <c r="C285" s="187"/>
      <c r="E285" s="207"/>
      <c r="G285" s="207"/>
    </row>
    <row r="286" ht="12.75" customHeight="1">
      <c r="B286" s="206"/>
      <c r="C286" s="187"/>
      <c r="E286" s="207"/>
      <c r="G286" s="207"/>
    </row>
    <row r="287" ht="12.75" customHeight="1">
      <c r="B287" s="206"/>
      <c r="C287" s="187"/>
      <c r="E287" s="207"/>
      <c r="G287" s="207"/>
    </row>
    <row r="288" ht="12.75" customHeight="1">
      <c r="B288" s="206"/>
      <c r="C288" s="187"/>
      <c r="E288" s="207"/>
      <c r="G288" s="207"/>
    </row>
    <row r="289" ht="12.75" customHeight="1">
      <c r="B289" s="206"/>
      <c r="C289" s="187"/>
      <c r="E289" s="207"/>
      <c r="G289" s="207"/>
    </row>
    <row r="290" ht="12.75" customHeight="1">
      <c r="B290" s="206"/>
      <c r="C290" s="187"/>
      <c r="E290" s="207"/>
      <c r="G290" s="207"/>
    </row>
    <row r="291" ht="12.75" customHeight="1">
      <c r="B291" s="206"/>
      <c r="C291" s="187"/>
      <c r="E291" s="207"/>
      <c r="G291" s="207"/>
    </row>
    <row r="292" ht="12.75" customHeight="1">
      <c r="B292" s="206"/>
      <c r="C292" s="187"/>
      <c r="E292" s="207"/>
      <c r="G292" s="207"/>
    </row>
    <row r="293" ht="12.75" customHeight="1">
      <c r="B293" s="206"/>
      <c r="C293" s="187"/>
      <c r="E293" s="207"/>
      <c r="G293" s="207"/>
    </row>
    <row r="294" ht="12.75" customHeight="1">
      <c r="B294" s="206"/>
      <c r="C294" s="187"/>
      <c r="E294" s="207"/>
      <c r="G294" s="207"/>
    </row>
    <row r="295" ht="12.75" customHeight="1">
      <c r="B295" s="206"/>
      <c r="C295" s="187"/>
      <c r="E295" s="207"/>
      <c r="G295" s="207"/>
    </row>
    <row r="296" ht="12.75" customHeight="1">
      <c r="B296" s="206"/>
      <c r="C296" s="187"/>
      <c r="E296" s="207"/>
      <c r="G296" s="207"/>
    </row>
    <row r="297" ht="12.75" customHeight="1">
      <c r="B297" s="206"/>
      <c r="C297" s="187"/>
      <c r="E297" s="207"/>
      <c r="G297" s="207"/>
    </row>
    <row r="298" ht="12.75" customHeight="1">
      <c r="B298" s="206"/>
      <c r="C298" s="187"/>
      <c r="E298" s="207"/>
      <c r="G298" s="207"/>
    </row>
    <row r="299" ht="12.75" customHeight="1">
      <c r="B299" s="206"/>
      <c r="C299" s="187"/>
      <c r="E299" s="207"/>
      <c r="G299" s="207"/>
    </row>
    <row r="300" ht="12.75" customHeight="1">
      <c r="B300" s="206"/>
      <c r="C300" s="187"/>
      <c r="E300" s="207"/>
      <c r="G300" s="207"/>
    </row>
    <row r="301" ht="12.75" customHeight="1">
      <c r="B301" s="206"/>
      <c r="C301" s="187"/>
      <c r="E301" s="207"/>
      <c r="G301" s="207"/>
    </row>
    <row r="302" ht="12.75" customHeight="1">
      <c r="B302" s="206"/>
      <c r="C302" s="187"/>
      <c r="E302" s="207"/>
      <c r="G302" s="207"/>
    </row>
    <row r="303" ht="12.75" customHeight="1">
      <c r="B303" s="206"/>
      <c r="C303" s="187"/>
      <c r="E303" s="207"/>
      <c r="G303" s="207"/>
    </row>
    <row r="304" ht="12.75" customHeight="1">
      <c r="B304" s="206"/>
      <c r="C304" s="187"/>
      <c r="E304" s="207"/>
      <c r="G304" s="207"/>
    </row>
    <row r="305" ht="12.75" customHeight="1">
      <c r="B305" s="206"/>
      <c r="C305" s="187"/>
      <c r="E305" s="207"/>
      <c r="G305" s="207"/>
    </row>
    <row r="306" ht="12.75" customHeight="1">
      <c r="B306" s="206"/>
      <c r="C306" s="187"/>
      <c r="E306" s="207"/>
      <c r="G306" s="207"/>
    </row>
    <row r="307" ht="12.75" customHeight="1">
      <c r="B307" s="206"/>
      <c r="C307" s="187"/>
      <c r="E307" s="207"/>
      <c r="G307" s="207"/>
    </row>
    <row r="308" ht="12.75" customHeight="1">
      <c r="B308" s="206"/>
      <c r="C308" s="187"/>
      <c r="E308" s="207"/>
      <c r="G308" s="207"/>
    </row>
    <row r="309" ht="12.75" customHeight="1">
      <c r="B309" s="206"/>
      <c r="C309" s="187"/>
      <c r="E309" s="207"/>
      <c r="G309" s="207"/>
    </row>
    <row r="310" ht="12.75" customHeight="1">
      <c r="B310" s="206"/>
      <c r="C310" s="187"/>
      <c r="E310" s="207"/>
      <c r="G310" s="207"/>
    </row>
    <row r="311" ht="12.75" customHeight="1">
      <c r="B311" s="206"/>
      <c r="C311" s="187"/>
      <c r="E311" s="207"/>
      <c r="G311" s="207"/>
    </row>
    <row r="312" ht="12.75" customHeight="1">
      <c r="B312" s="206"/>
      <c r="C312" s="187"/>
      <c r="E312" s="207"/>
      <c r="G312" s="207"/>
    </row>
    <row r="313" ht="12.75" customHeight="1">
      <c r="B313" s="206"/>
      <c r="C313" s="187"/>
      <c r="E313" s="207"/>
      <c r="G313" s="207"/>
    </row>
    <row r="314" ht="12.75" customHeight="1">
      <c r="B314" s="206"/>
      <c r="C314" s="187"/>
      <c r="E314" s="207"/>
      <c r="G314" s="207"/>
    </row>
    <row r="315" ht="12.75" customHeight="1">
      <c r="B315" s="206"/>
      <c r="C315" s="187"/>
      <c r="E315" s="207"/>
      <c r="G315" s="207"/>
    </row>
    <row r="316" ht="12.75" customHeight="1">
      <c r="B316" s="206"/>
      <c r="C316" s="187"/>
      <c r="E316" s="207"/>
      <c r="G316" s="207"/>
    </row>
    <row r="317" ht="12.75" customHeight="1">
      <c r="B317" s="206"/>
      <c r="C317" s="187"/>
      <c r="E317" s="207"/>
      <c r="G317" s="207"/>
    </row>
    <row r="318" ht="12.75" customHeight="1">
      <c r="B318" s="206"/>
      <c r="C318" s="187"/>
      <c r="E318" s="207"/>
      <c r="G318" s="207"/>
    </row>
    <row r="319" ht="12.75" customHeight="1">
      <c r="B319" s="206"/>
      <c r="C319" s="187"/>
      <c r="E319" s="207"/>
      <c r="G319" s="207"/>
    </row>
    <row r="320" ht="12.75" customHeight="1">
      <c r="B320" s="206"/>
      <c r="C320" s="187"/>
      <c r="E320" s="207"/>
      <c r="G320" s="207"/>
    </row>
    <row r="321" ht="12.75" customHeight="1">
      <c r="B321" s="206"/>
      <c r="C321" s="187"/>
      <c r="E321" s="207"/>
      <c r="G321" s="207"/>
    </row>
    <row r="322" ht="12.75" customHeight="1">
      <c r="B322" s="206"/>
      <c r="C322" s="187"/>
      <c r="E322" s="207"/>
      <c r="G322" s="207"/>
    </row>
    <row r="323" ht="12.75" customHeight="1">
      <c r="B323" s="206"/>
      <c r="C323" s="187"/>
      <c r="E323" s="207"/>
      <c r="G323" s="207"/>
    </row>
    <row r="324" ht="12.75" customHeight="1">
      <c r="B324" s="206"/>
      <c r="C324" s="187"/>
      <c r="E324" s="207"/>
      <c r="G324" s="207"/>
    </row>
    <row r="325" ht="12.75" customHeight="1">
      <c r="B325" s="206"/>
      <c r="C325" s="187"/>
      <c r="E325" s="207"/>
      <c r="G325" s="207"/>
    </row>
    <row r="326" ht="12.75" customHeight="1">
      <c r="B326" s="206"/>
      <c r="C326" s="187"/>
      <c r="E326" s="207"/>
      <c r="G326" s="207"/>
    </row>
    <row r="327" ht="12.75" customHeight="1">
      <c r="B327" s="206"/>
      <c r="C327" s="187"/>
      <c r="E327" s="207"/>
      <c r="G327" s="207"/>
    </row>
    <row r="328" ht="12.75" customHeight="1">
      <c r="B328" s="206"/>
      <c r="C328" s="187"/>
      <c r="E328" s="207"/>
      <c r="G328" s="207"/>
    </row>
    <row r="329" ht="12.75" customHeight="1">
      <c r="B329" s="206"/>
      <c r="C329" s="187"/>
      <c r="E329" s="207"/>
      <c r="G329" s="207"/>
    </row>
    <row r="330" ht="12.75" customHeight="1">
      <c r="B330" s="206"/>
      <c r="C330" s="187"/>
      <c r="E330" s="207"/>
      <c r="G330" s="207"/>
    </row>
    <row r="331" ht="12.75" customHeight="1">
      <c r="B331" s="206"/>
      <c r="C331" s="187"/>
      <c r="E331" s="207"/>
      <c r="G331" s="207"/>
    </row>
    <row r="332" ht="12.75" customHeight="1">
      <c r="B332" s="206"/>
      <c r="C332" s="187"/>
      <c r="E332" s="207"/>
      <c r="G332" s="207"/>
    </row>
    <row r="333" ht="12.75" customHeight="1">
      <c r="B333" s="206"/>
      <c r="C333" s="187"/>
      <c r="E333" s="207"/>
      <c r="G333" s="207"/>
    </row>
    <row r="334" ht="12.75" customHeight="1">
      <c r="B334" s="206"/>
      <c r="C334" s="187"/>
      <c r="E334" s="207"/>
      <c r="G334" s="207"/>
    </row>
    <row r="335" ht="12.75" customHeight="1">
      <c r="B335" s="206"/>
      <c r="C335" s="187"/>
      <c r="E335" s="207"/>
      <c r="G335" s="207"/>
    </row>
    <row r="336" ht="12.75" customHeight="1">
      <c r="B336" s="206"/>
      <c r="C336" s="187"/>
      <c r="E336" s="207"/>
      <c r="G336" s="207"/>
    </row>
    <row r="337" ht="12.75" customHeight="1">
      <c r="B337" s="206"/>
      <c r="C337" s="187"/>
      <c r="E337" s="207"/>
      <c r="G337" s="207"/>
    </row>
    <row r="338" ht="12.75" customHeight="1">
      <c r="B338" s="206"/>
      <c r="C338" s="187"/>
      <c r="E338" s="207"/>
      <c r="G338" s="207"/>
    </row>
    <row r="339" ht="12.75" customHeight="1">
      <c r="B339" s="206"/>
      <c r="C339" s="187"/>
      <c r="E339" s="207"/>
      <c r="G339" s="207"/>
    </row>
    <row r="340" ht="12.75" customHeight="1">
      <c r="B340" s="206"/>
      <c r="C340" s="187"/>
      <c r="E340" s="207"/>
      <c r="G340" s="207"/>
    </row>
    <row r="341" ht="12.75" customHeight="1">
      <c r="B341" s="206"/>
      <c r="C341" s="187"/>
      <c r="E341" s="207"/>
      <c r="G341" s="207"/>
    </row>
    <row r="342" ht="12.75" customHeight="1">
      <c r="B342" s="206"/>
      <c r="C342" s="187"/>
      <c r="E342" s="207"/>
      <c r="G342" s="207"/>
    </row>
    <row r="343" ht="12.75" customHeight="1">
      <c r="B343" s="206"/>
      <c r="C343" s="187"/>
      <c r="E343" s="207"/>
      <c r="G343" s="207"/>
    </row>
    <row r="344" ht="12.75" customHeight="1">
      <c r="B344" s="206"/>
      <c r="C344" s="187"/>
      <c r="E344" s="207"/>
      <c r="G344" s="207"/>
    </row>
    <row r="345" ht="12.75" customHeight="1">
      <c r="B345" s="206"/>
      <c r="C345" s="187"/>
      <c r="E345" s="207"/>
      <c r="G345" s="207"/>
    </row>
    <row r="346" ht="12.75" customHeight="1">
      <c r="B346" s="206"/>
      <c r="C346" s="187"/>
      <c r="E346" s="207"/>
      <c r="G346" s="207"/>
    </row>
    <row r="347" ht="12.75" customHeight="1">
      <c r="B347" s="206"/>
      <c r="C347" s="187"/>
      <c r="E347" s="207"/>
      <c r="G347" s="207"/>
    </row>
    <row r="348" ht="12.75" customHeight="1">
      <c r="B348" s="206"/>
      <c r="C348" s="187"/>
      <c r="E348" s="207"/>
      <c r="G348" s="207"/>
    </row>
    <row r="349" ht="12.75" customHeight="1">
      <c r="B349" s="206"/>
      <c r="C349" s="187"/>
      <c r="E349" s="207"/>
      <c r="G349" s="207"/>
    </row>
    <row r="350" ht="12.75" customHeight="1">
      <c r="B350" s="206"/>
      <c r="C350" s="187"/>
      <c r="E350" s="207"/>
      <c r="G350" s="207"/>
    </row>
    <row r="351" ht="12.75" customHeight="1">
      <c r="B351" s="206"/>
      <c r="C351" s="187"/>
      <c r="E351" s="207"/>
      <c r="G351" s="207"/>
    </row>
    <row r="352" ht="12.75" customHeight="1">
      <c r="B352" s="206"/>
      <c r="C352" s="187"/>
      <c r="E352" s="207"/>
      <c r="G352" s="207"/>
    </row>
    <row r="353" ht="12.75" customHeight="1">
      <c r="B353" s="206"/>
      <c r="C353" s="187"/>
      <c r="E353" s="207"/>
      <c r="G353" s="207"/>
    </row>
    <row r="354" ht="12.75" customHeight="1">
      <c r="B354" s="206"/>
      <c r="C354" s="187"/>
      <c r="E354" s="207"/>
      <c r="G354" s="207"/>
    </row>
    <row r="355" ht="12.75" customHeight="1">
      <c r="B355" s="206"/>
      <c r="C355" s="187"/>
      <c r="E355" s="207"/>
      <c r="G355" s="207"/>
    </row>
    <row r="356" ht="12.75" customHeight="1">
      <c r="B356" s="206"/>
      <c r="C356" s="187"/>
      <c r="E356" s="207"/>
      <c r="G356" s="207"/>
    </row>
    <row r="357" ht="12.75" customHeight="1">
      <c r="B357" s="206"/>
      <c r="C357" s="187"/>
      <c r="E357" s="207"/>
      <c r="G357" s="207"/>
    </row>
    <row r="358" ht="12.75" customHeight="1">
      <c r="B358" s="206"/>
      <c r="C358" s="187"/>
      <c r="E358" s="207"/>
      <c r="G358" s="207"/>
    </row>
    <row r="359" ht="12.75" customHeight="1">
      <c r="B359" s="206"/>
      <c r="C359" s="187"/>
      <c r="E359" s="207"/>
      <c r="G359" s="207"/>
    </row>
    <row r="360" ht="12.75" customHeight="1">
      <c r="B360" s="206"/>
      <c r="C360" s="187"/>
      <c r="E360" s="207"/>
      <c r="G360" s="207"/>
    </row>
    <row r="361" ht="12.75" customHeight="1">
      <c r="B361" s="206"/>
      <c r="C361" s="187"/>
      <c r="E361" s="207"/>
      <c r="G361" s="207"/>
    </row>
    <row r="362" ht="12.75" customHeight="1">
      <c r="B362" s="206"/>
      <c r="C362" s="187"/>
      <c r="E362" s="207"/>
      <c r="G362" s="207"/>
    </row>
    <row r="363" ht="12.75" customHeight="1">
      <c r="B363" s="206"/>
      <c r="C363" s="187"/>
      <c r="E363" s="207"/>
      <c r="G363" s="207"/>
    </row>
    <row r="364" ht="12.75" customHeight="1">
      <c r="B364" s="206"/>
      <c r="C364" s="187"/>
      <c r="E364" s="207"/>
      <c r="G364" s="207"/>
    </row>
    <row r="365" ht="12.75" customHeight="1">
      <c r="B365" s="206"/>
      <c r="C365" s="187"/>
      <c r="E365" s="207"/>
      <c r="G365" s="207"/>
    </row>
    <row r="366" ht="12.75" customHeight="1">
      <c r="B366" s="206"/>
      <c r="C366" s="187"/>
      <c r="E366" s="207"/>
      <c r="G366" s="207"/>
    </row>
    <row r="367" ht="12.75" customHeight="1">
      <c r="B367" s="206"/>
      <c r="C367" s="187"/>
      <c r="E367" s="207"/>
      <c r="G367" s="207"/>
    </row>
    <row r="368" ht="12.75" customHeight="1">
      <c r="B368" s="206"/>
      <c r="C368" s="187"/>
      <c r="E368" s="207"/>
      <c r="G368" s="207"/>
    </row>
    <row r="369" ht="12.75" customHeight="1">
      <c r="B369" s="206"/>
      <c r="C369" s="187"/>
      <c r="E369" s="207"/>
      <c r="G369" s="207"/>
    </row>
    <row r="370" ht="12.75" customHeight="1">
      <c r="B370" s="206"/>
      <c r="C370" s="187"/>
      <c r="E370" s="207"/>
      <c r="G370" s="207"/>
    </row>
    <row r="371" ht="12.75" customHeight="1">
      <c r="B371" s="206"/>
      <c r="C371" s="187"/>
      <c r="E371" s="207"/>
      <c r="G371" s="207"/>
    </row>
    <row r="372" ht="12.75" customHeight="1">
      <c r="B372" s="206"/>
      <c r="C372" s="187"/>
      <c r="E372" s="207"/>
      <c r="G372" s="207"/>
    </row>
    <row r="373" ht="12.75" customHeight="1">
      <c r="B373" s="206"/>
      <c r="C373" s="187"/>
      <c r="E373" s="207"/>
      <c r="G373" s="207"/>
    </row>
    <row r="374" ht="12.75" customHeight="1">
      <c r="B374" s="206"/>
      <c r="C374" s="187"/>
      <c r="E374" s="207"/>
      <c r="G374" s="207"/>
    </row>
    <row r="375" ht="12.75" customHeight="1">
      <c r="B375" s="206"/>
      <c r="C375" s="187"/>
      <c r="E375" s="207"/>
      <c r="G375" s="207"/>
    </row>
    <row r="376" ht="12.75" customHeight="1">
      <c r="B376" s="206"/>
      <c r="C376" s="187"/>
      <c r="E376" s="207"/>
      <c r="G376" s="207"/>
    </row>
    <row r="377" ht="12.75" customHeight="1">
      <c r="B377" s="206"/>
      <c r="C377" s="187"/>
      <c r="E377" s="207"/>
      <c r="G377" s="207"/>
    </row>
    <row r="378" ht="12.75" customHeight="1">
      <c r="B378" s="206"/>
      <c r="C378" s="187"/>
      <c r="E378" s="207"/>
      <c r="G378" s="207"/>
    </row>
    <row r="379" ht="12.75" customHeight="1">
      <c r="B379" s="206"/>
      <c r="C379" s="187"/>
      <c r="E379" s="207"/>
      <c r="G379" s="207"/>
    </row>
    <row r="380" ht="12.75" customHeight="1">
      <c r="B380" s="206"/>
      <c r="C380" s="187"/>
      <c r="E380" s="207"/>
      <c r="G380" s="207"/>
    </row>
    <row r="381" ht="12.75" customHeight="1">
      <c r="B381" s="206"/>
      <c r="C381" s="187"/>
      <c r="E381" s="207"/>
      <c r="G381" s="207"/>
    </row>
    <row r="382" ht="12.75" customHeight="1">
      <c r="B382" s="206"/>
      <c r="C382" s="187"/>
      <c r="E382" s="207"/>
      <c r="G382" s="207"/>
    </row>
    <row r="383" ht="12.75" customHeight="1">
      <c r="B383" s="206"/>
      <c r="C383" s="187"/>
      <c r="E383" s="207"/>
      <c r="G383" s="207"/>
    </row>
    <row r="384" ht="12.75" customHeight="1">
      <c r="B384" s="206"/>
      <c r="C384" s="187"/>
      <c r="E384" s="207"/>
      <c r="G384" s="207"/>
    </row>
    <row r="385" ht="12.75" customHeight="1">
      <c r="B385" s="206"/>
      <c r="C385" s="187"/>
      <c r="E385" s="207"/>
      <c r="G385" s="207"/>
    </row>
    <row r="386" ht="12.75" customHeight="1">
      <c r="B386" s="206"/>
      <c r="C386" s="187"/>
      <c r="E386" s="207"/>
      <c r="G386" s="207"/>
    </row>
    <row r="387" ht="12.75" customHeight="1">
      <c r="B387" s="206"/>
      <c r="C387" s="187"/>
      <c r="E387" s="207"/>
      <c r="G387" s="207"/>
    </row>
    <row r="388" ht="12.75" customHeight="1">
      <c r="B388" s="206"/>
      <c r="C388" s="187"/>
      <c r="E388" s="207"/>
      <c r="G388" s="207"/>
    </row>
    <row r="389" ht="12.75" customHeight="1">
      <c r="B389" s="206"/>
      <c r="C389" s="187"/>
      <c r="E389" s="207"/>
      <c r="G389" s="207"/>
    </row>
    <row r="390" ht="12.75" customHeight="1">
      <c r="B390" s="206"/>
      <c r="C390" s="187"/>
      <c r="E390" s="207"/>
      <c r="G390" s="207"/>
    </row>
    <row r="391" ht="12.75" customHeight="1">
      <c r="B391" s="206"/>
      <c r="C391" s="187"/>
      <c r="E391" s="207"/>
      <c r="G391" s="207"/>
    </row>
    <row r="392" ht="12.75" customHeight="1">
      <c r="B392" s="206"/>
      <c r="C392" s="187"/>
      <c r="E392" s="207"/>
      <c r="G392" s="207"/>
    </row>
    <row r="393" ht="12.75" customHeight="1">
      <c r="B393" s="206"/>
      <c r="C393" s="187"/>
      <c r="E393" s="207"/>
      <c r="G393" s="207"/>
    </row>
    <row r="394" ht="12.75" customHeight="1">
      <c r="B394" s="206"/>
      <c r="C394" s="187"/>
      <c r="E394" s="207"/>
      <c r="G394" s="207"/>
    </row>
    <row r="395" ht="12.75" customHeight="1">
      <c r="B395" s="206"/>
      <c r="C395" s="187"/>
      <c r="E395" s="207"/>
      <c r="G395" s="207"/>
    </row>
    <row r="396" ht="12.75" customHeight="1">
      <c r="B396" s="206"/>
      <c r="C396" s="187"/>
      <c r="E396" s="207"/>
      <c r="G396" s="207"/>
    </row>
    <row r="397" ht="12.75" customHeight="1">
      <c r="B397" s="206"/>
      <c r="C397" s="187"/>
      <c r="E397" s="207"/>
      <c r="G397" s="207"/>
    </row>
    <row r="398" ht="12.75" customHeight="1">
      <c r="B398" s="206"/>
      <c r="C398" s="187"/>
      <c r="E398" s="207"/>
      <c r="G398" s="207"/>
    </row>
    <row r="399" ht="12.75" customHeight="1">
      <c r="B399" s="206"/>
      <c r="C399" s="187"/>
      <c r="E399" s="207"/>
      <c r="G399" s="207"/>
    </row>
    <row r="400" ht="12.75" customHeight="1">
      <c r="B400" s="206"/>
      <c r="C400" s="187"/>
      <c r="E400" s="207"/>
      <c r="G400" s="207"/>
    </row>
    <row r="401" ht="12.75" customHeight="1">
      <c r="B401" s="206"/>
      <c r="C401" s="187"/>
      <c r="E401" s="207"/>
      <c r="G401" s="207"/>
    </row>
    <row r="402" ht="12.75" customHeight="1">
      <c r="B402" s="206"/>
      <c r="C402" s="187"/>
      <c r="E402" s="207"/>
      <c r="G402" s="207"/>
    </row>
    <row r="403" ht="12.75" customHeight="1">
      <c r="B403" s="206"/>
      <c r="C403" s="187"/>
      <c r="E403" s="207"/>
      <c r="G403" s="207"/>
    </row>
    <row r="404" ht="12.75" customHeight="1">
      <c r="B404" s="206"/>
      <c r="C404" s="187"/>
      <c r="E404" s="207"/>
      <c r="G404" s="207"/>
    </row>
    <row r="405" ht="12.75" customHeight="1">
      <c r="B405" s="206"/>
      <c r="C405" s="187"/>
      <c r="E405" s="207"/>
      <c r="G405" s="207"/>
    </row>
    <row r="406" ht="12.75" customHeight="1">
      <c r="B406" s="206"/>
      <c r="C406" s="187"/>
      <c r="E406" s="207"/>
      <c r="G406" s="207"/>
    </row>
    <row r="407" ht="12.75" customHeight="1">
      <c r="B407" s="206"/>
      <c r="C407" s="187"/>
      <c r="E407" s="207"/>
      <c r="G407" s="207"/>
    </row>
    <row r="408" ht="12.75" customHeight="1">
      <c r="B408" s="206"/>
      <c r="C408" s="187"/>
      <c r="E408" s="207"/>
      <c r="G408" s="207"/>
    </row>
    <row r="409" ht="12.75" customHeight="1">
      <c r="B409" s="206"/>
      <c r="C409" s="187"/>
      <c r="E409" s="207"/>
      <c r="G409" s="207"/>
    </row>
    <row r="410" ht="12.75" customHeight="1">
      <c r="B410" s="206"/>
      <c r="C410" s="187"/>
      <c r="E410" s="207"/>
      <c r="G410" s="207"/>
    </row>
    <row r="411" ht="12.75" customHeight="1">
      <c r="B411" s="206"/>
      <c r="C411" s="187"/>
      <c r="E411" s="207"/>
      <c r="G411" s="207"/>
    </row>
    <row r="412" ht="12.75" customHeight="1">
      <c r="B412" s="206"/>
      <c r="C412" s="187"/>
      <c r="E412" s="207"/>
      <c r="G412" s="207"/>
    </row>
    <row r="413" ht="12.75" customHeight="1">
      <c r="B413" s="206"/>
      <c r="C413" s="187"/>
      <c r="E413" s="207"/>
      <c r="G413" s="207"/>
    </row>
    <row r="414" ht="12.75" customHeight="1">
      <c r="B414" s="206"/>
      <c r="C414" s="187"/>
      <c r="E414" s="207"/>
      <c r="G414" s="207"/>
    </row>
    <row r="415" ht="12.75" customHeight="1">
      <c r="B415" s="206"/>
      <c r="C415" s="187"/>
      <c r="E415" s="207"/>
      <c r="G415" s="207"/>
    </row>
    <row r="416" ht="12.75" customHeight="1">
      <c r="B416" s="206"/>
      <c r="C416" s="187"/>
      <c r="E416" s="207"/>
      <c r="G416" s="207"/>
    </row>
    <row r="417" ht="12.75" customHeight="1">
      <c r="B417" s="206"/>
      <c r="C417" s="187"/>
      <c r="E417" s="207"/>
      <c r="G417" s="207"/>
    </row>
    <row r="418" ht="12.75" customHeight="1">
      <c r="B418" s="206"/>
      <c r="C418" s="187"/>
      <c r="E418" s="207"/>
      <c r="G418" s="207"/>
    </row>
    <row r="419" ht="12.75" customHeight="1">
      <c r="B419" s="206"/>
      <c r="C419" s="187"/>
      <c r="E419" s="207"/>
      <c r="G419" s="207"/>
    </row>
    <row r="420" ht="12.75" customHeight="1">
      <c r="B420" s="206"/>
      <c r="C420" s="187"/>
      <c r="E420" s="207"/>
      <c r="G420" s="207"/>
    </row>
    <row r="421" ht="12.75" customHeight="1">
      <c r="B421" s="206"/>
      <c r="C421" s="187"/>
      <c r="E421" s="207"/>
      <c r="G421" s="207"/>
    </row>
    <row r="422" ht="12.75" customHeight="1">
      <c r="B422" s="206"/>
      <c r="C422" s="187"/>
      <c r="E422" s="207"/>
      <c r="G422" s="207"/>
    </row>
    <row r="423" ht="12.75" customHeight="1">
      <c r="B423" s="206"/>
      <c r="C423" s="187"/>
      <c r="E423" s="207"/>
      <c r="G423" s="207"/>
    </row>
    <row r="424" ht="12.75" customHeight="1">
      <c r="B424" s="206"/>
      <c r="C424" s="187"/>
      <c r="E424" s="207"/>
      <c r="G424" s="207"/>
    </row>
    <row r="425" ht="12.75" customHeight="1">
      <c r="B425" s="206"/>
      <c r="C425" s="187"/>
      <c r="E425" s="207"/>
      <c r="G425" s="207"/>
    </row>
    <row r="426" ht="12.75" customHeight="1">
      <c r="B426" s="206"/>
      <c r="C426" s="187"/>
      <c r="E426" s="207"/>
      <c r="G426" s="207"/>
    </row>
    <row r="427" ht="12.75" customHeight="1">
      <c r="B427" s="206"/>
      <c r="C427" s="187"/>
      <c r="E427" s="207"/>
      <c r="G427" s="207"/>
    </row>
    <row r="428" ht="12.75" customHeight="1">
      <c r="B428" s="206"/>
      <c r="C428" s="187"/>
      <c r="E428" s="207"/>
      <c r="G428" s="207"/>
    </row>
    <row r="429" ht="12.75" customHeight="1">
      <c r="B429" s="206"/>
      <c r="C429" s="187"/>
      <c r="E429" s="207"/>
      <c r="G429" s="207"/>
    </row>
    <row r="430" ht="12.75" customHeight="1">
      <c r="B430" s="206"/>
      <c r="C430" s="187"/>
      <c r="E430" s="207"/>
      <c r="G430" s="207"/>
    </row>
    <row r="431" ht="12.75" customHeight="1">
      <c r="B431" s="206"/>
      <c r="C431" s="187"/>
      <c r="E431" s="207"/>
      <c r="G431" s="207"/>
    </row>
    <row r="432" ht="12.75" customHeight="1">
      <c r="B432" s="206"/>
      <c r="C432" s="187"/>
      <c r="E432" s="207"/>
      <c r="G432" s="207"/>
    </row>
    <row r="433" ht="12.75" customHeight="1">
      <c r="B433" s="206"/>
      <c r="C433" s="187"/>
      <c r="E433" s="207"/>
      <c r="G433" s="207"/>
    </row>
    <row r="434" ht="12.75" customHeight="1">
      <c r="B434" s="206"/>
      <c r="C434" s="187"/>
      <c r="E434" s="207"/>
      <c r="G434" s="207"/>
    </row>
    <row r="435" ht="12.75" customHeight="1">
      <c r="B435" s="206"/>
      <c r="C435" s="187"/>
      <c r="E435" s="207"/>
      <c r="G435" s="207"/>
    </row>
    <row r="436" ht="12.75" customHeight="1">
      <c r="B436" s="206"/>
      <c r="C436" s="187"/>
      <c r="E436" s="207"/>
      <c r="G436" s="207"/>
    </row>
    <row r="437" ht="12.75" customHeight="1">
      <c r="B437" s="206"/>
      <c r="C437" s="187"/>
      <c r="E437" s="207"/>
      <c r="G437" s="207"/>
    </row>
    <row r="438" ht="12.75" customHeight="1">
      <c r="B438" s="206"/>
      <c r="C438" s="187"/>
      <c r="E438" s="207"/>
      <c r="G438" s="207"/>
    </row>
    <row r="439" ht="12.75" customHeight="1">
      <c r="B439" s="206"/>
      <c r="C439" s="187"/>
      <c r="E439" s="207"/>
      <c r="G439" s="207"/>
    </row>
    <row r="440" ht="12.75" customHeight="1">
      <c r="B440" s="206"/>
      <c r="C440" s="187"/>
      <c r="E440" s="207"/>
      <c r="G440" s="207"/>
    </row>
    <row r="441" ht="12.75" customHeight="1">
      <c r="B441" s="206"/>
      <c r="C441" s="187"/>
      <c r="E441" s="207"/>
      <c r="G441" s="207"/>
    </row>
    <row r="442" ht="12.75" customHeight="1">
      <c r="B442" s="206"/>
      <c r="C442" s="187"/>
      <c r="E442" s="207"/>
      <c r="G442" s="207"/>
    </row>
    <row r="443" ht="12.75" customHeight="1">
      <c r="B443" s="206"/>
      <c r="C443" s="187"/>
      <c r="E443" s="207"/>
      <c r="G443" s="207"/>
    </row>
    <row r="444" ht="12.75" customHeight="1">
      <c r="B444" s="206"/>
      <c r="C444" s="187"/>
      <c r="E444" s="207"/>
      <c r="G444" s="207"/>
    </row>
    <row r="445" ht="12.75" customHeight="1">
      <c r="B445" s="206"/>
      <c r="C445" s="187"/>
      <c r="E445" s="207"/>
      <c r="G445" s="207"/>
    </row>
    <row r="446" ht="12.75" customHeight="1">
      <c r="B446" s="206"/>
      <c r="C446" s="187"/>
      <c r="E446" s="207"/>
      <c r="G446" s="207"/>
    </row>
    <row r="447" ht="12.75" customHeight="1">
      <c r="B447" s="206"/>
      <c r="C447" s="187"/>
      <c r="E447" s="207"/>
      <c r="G447" s="207"/>
    </row>
    <row r="448" ht="12.75" customHeight="1">
      <c r="B448" s="206"/>
      <c r="C448" s="187"/>
      <c r="E448" s="207"/>
      <c r="G448" s="207"/>
    </row>
    <row r="449" ht="12.75" customHeight="1">
      <c r="B449" s="206"/>
      <c r="C449" s="187"/>
      <c r="E449" s="207"/>
      <c r="G449" s="207"/>
    </row>
    <row r="450" ht="12.75" customHeight="1">
      <c r="B450" s="206"/>
      <c r="C450" s="187"/>
      <c r="E450" s="207"/>
      <c r="G450" s="207"/>
    </row>
    <row r="451" ht="12.75" customHeight="1">
      <c r="B451" s="206"/>
      <c r="C451" s="187"/>
      <c r="E451" s="207"/>
      <c r="G451" s="207"/>
    </row>
    <row r="452" ht="12.75" customHeight="1">
      <c r="B452" s="206"/>
      <c r="C452" s="187"/>
      <c r="E452" s="207"/>
      <c r="G452" s="207"/>
    </row>
    <row r="453" ht="12.75" customHeight="1">
      <c r="B453" s="206"/>
      <c r="C453" s="187"/>
      <c r="E453" s="207"/>
      <c r="G453" s="207"/>
    </row>
    <row r="454" ht="12.75" customHeight="1">
      <c r="B454" s="206"/>
      <c r="C454" s="187"/>
      <c r="E454" s="207"/>
      <c r="G454" s="207"/>
    </row>
    <row r="455" ht="12.75" customHeight="1">
      <c r="B455" s="206"/>
      <c r="C455" s="187"/>
      <c r="E455" s="207"/>
      <c r="G455" s="207"/>
    </row>
    <row r="456" ht="12.75" customHeight="1">
      <c r="B456" s="206"/>
      <c r="C456" s="187"/>
      <c r="E456" s="207"/>
      <c r="G456" s="207"/>
    </row>
    <row r="457" ht="12.75" customHeight="1">
      <c r="B457" s="206"/>
      <c r="C457" s="187"/>
      <c r="E457" s="207"/>
      <c r="G457" s="207"/>
    </row>
    <row r="458" ht="12.75" customHeight="1">
      <c r="B458" s="206"/>
      <c r="C458" s="187"/>
      <c r="E458" s="207"/>
      <c r="G458" s="207"/>
    </row>
    <row r="459" ht="12.75" customHeight="1">
      <c r="B459" s="206"/>
      <c r="C459" s="187"/>
      <c r="E459" s="207"/>
      <c r="G459" s="207"/>
    </row>
    <row r="460" ht="12.75" customHeight="1">
      <c r="B460" s="206"/>
      <c r="C460" s="187"/>
      <c r="E460" s="207"/>
      <c r="G460" s="207"/>
    </row>
    <row r="461" ht="12.75" customHeight="1">
      <c r="B461" s="206"/>
      <c r="C461" s="187"/>
      <c r="E461" s="207"/>
      <c r="G461" s="207"/>
    </row>
    <row r="462" ht="12.75" customHeight="1">
      <c r="B462" s="206"/>
      <c r="C462" s="187"/>
      <c r="E462" s="207"/>
      <c r="G462" s="207"/>
    </row>
    <row r="463" ht="12.75" customHeight="1">
      <c r="B463" s="206"/>
      <c r="C463" s="187"/>
      <c r="E463" s="207"/>
      <c r="G463" s="207"/>
    </row>
    <row r="464" ht="12.75" customHeight="1">
      <c r="B464" s="206"/>
      <c r="C464" s="187"/>
      <c r="E464" s="207"/>
      <c r="G464" s="207"/>
    </row>
    <row r="465" ht="12.75" customHeight="1">
      <c r="B465" s="206"/>
      <c r="C465" s="187"/>
      <c r="E465" s="207"/>
      <c r="G465" s="207"/>
    </row>
    <row r="466" ht="12.75" customHeight="1">
      <c r="B466" s="206"/>
      <c r="C466" s="187"/>
      <c r="E466" s="207"/>
      <c r="G466" s="207"/>
    </row>
    <row r="467" ht="12.75" customHeight="1">
      <c r="B467" s="206"/>
      <c r="C467" s="187"/>
      <c r="E467" s="207"/>
      <c r="G467" s="207"/>
    </row>
    <row r="468" ht="12.75" customHeight="1">
      <c r="B468" s="206"/>
      <c r="C468" s="187"/>
      <c r="E468" s="207"/>
      <c r="G468" s="207"/>
    </row>
    <row r="469" ht="12.75" customHeight="1">
      <c r="B469" s="206"/>
      <c r="C469" s="187"/>
      <c r="E469" s="207"/>
      <c r="G469" s="207"/>
    </row>
    <row r="470" ht="12.75" customHeight="1">
      <c r="B470" s="206"/>
      <c r="C470" s="187"/>
      <c r="E470" s="207"/>
      <c r="G470" s="207"/>
    </row>
    <row r="471" ht="12.75" customHeight="1">
      <c r="B471" s="206"/>
      <c r="C471" s="187"/>
      <c r="E471" s="207"/>
      <c r="G471" s="207"/>
    </row>
    <row r="472" ht="12.75" customHeight="1">
      <c r="B472" s="206"/>
      <c r="C472" s="187"/>
      <c r="E472" s="207"/>
      <c r="G472" s="207"/>
    </row>
    <row r="473" ht="12.75" customHeight="1">
      <c r="B473" s="206"/>
      <c r="C473" s="187"/>
      <c r="E473" s="207"/>
      <c r="G473" s="207"/>
    </row>
    <row r="474" ht="12.75" customHeight="1">
      <c r="B474" s="206"/>
      <c r="C474" s="187"/>
      <c r="E474" s="207"/>
      <c r="G474" s="207"/>
    </row>
    <row r="475" ht="12.75" customHeight="1">
      <c r="B475" s="206"/>
      <c r="C475" s="187"/>
      <c r="E475" s="207"/>
      <c r="G475" s="207"/>
    </row>
    <row r="476" ht="12.75" customHeight="1">
      <c r="B476" s="206"/>
      <c r="C476" s="187"/>
      <c r="E476" s="207"/>
      <c r="G476" s="207"/>
    </row>
    <row r="477" ht="12.75" customHeight="1">
      <c r="B477" s="206"/>
      <c r="C477" s="187"/>
      <c r="E477" s="207"/>
      <c r="G477" s="207"/>
    </row>
    <row r="478" ht="12.75" customHeight="1">
      <c r="B478" s="206"/>
      <c r="C478" s="187"/>
      <c r="E478" s="207"/>
      <c r="G478" s="207"/>
    </row>
    <row r="479" ht="12.75" customHeight="1">
      <c r="B479" s="206"/>
      <c r="C479" s="187"/>
      <c r="E479" s="207"/>
      <c r="G479" s="207"/>
    </row>
    <row r="480" ht="12.75" customHeight="1">
      <c r="B480" s="206"/>
      <c r="C480" s="187"/>
      <c r="E480" s="207"/>
      <c r="G480" s="207"/>
    </row>
    <row r="481" ht="12.75" customHeight="1">
      <c r="B481" s="206"/>
      <c r="C481" s="187"/>
      <c r="E481" s="207"/>
      <c r="G481" s="207"/>
    </row>
    <row r="482" ht="12.75" customHeight="1">
      <c r="B482" s="206"/>
      <c r="C482" s="187"/>
      <c r="E482" s="207"/>
      <c r="G482" s="207"/>
    </row>
    <row r="483" ht="12.75" customHeight="1">
      <c r="B483" s="206"/>
      <c r="C483" s="187"/>
      <c r="E483" s="207"/>
      <c r="G483" s="207"/>
    </row>
    <row r="484" ht="12.75" customHeight="1">
      <c r="B484" s="206"/>
      <c r="C484" s="187"/>
      <c r="E484" s="207"/>
      <c r="G484" s="207"/>
    </row>
    <row r="485" ht="12.75" customHeight="1">
      <c r="B485" s="206"/>
      <c r="C485" s="187"/>
      <c r="E485" s="207"/>
      <c r="G485" s="207"/>
    </row>
    <row r="486" ht="12.75" customHeight="1">
      <c r="B486" s="206"/>
      <c r="C486" s="187"/>
      <c r="E486" s="207"/>
      <c r="G486" s="207"/>
    </row>
    <row r="487" ht="12.75" customHeight="1">
      <c r="B487" s="206"/>
      <c r="C487" s="187"/>
      <c r="E487" s="207"/>
      <c r="G487" s="207"/>
    </row>
    <row r="488" ht="12.75" customHeight="1">
      <c r="B488" s="206"/>
      <c r="C488" s="187"/>
      <c r="E488" s="207"/>
      <c r="G488" s="207"/>
    </row>
    <row r="489" ht="12.75" customHeight="1">
      <c r="B489" s="206"/>
      <c r="C489" s="187"/>
      <c r="E489" s="207"/>
      <c r="G489" s="207"/>
    </row>
    <row r="490" ht="12.75" customHeight="1">
      <c r="B490" s="206"/>
      <c r="C490" s="187"/>
      <c r="E490" s="207"/>
      <c r="G490" s="207"/>
    </row>
    <row r="491" ht="12.75" customHeight="1">
      <c r="B491" s="206"/>
      <c r="C491" s="187"/>
      <c r="E491" s="207"/>
      <c r="G491" s="207"/>
    </row>
    <row r="492" ht="12.75" customHeight="1">
      <c r="B492" s="206"/>
      <c r="C492" s="187"/>
      <c r="E492" s="207"/>
      <c r="G492" s="207"/>
    </row>
    <row r="493" ht="12.75" customHeight="1">
      <c r="B493" s="206"/>
      <c r="C493" s="187"/>
      <c r="E493" s="207"/>
      <c r="G493" s="207"/>
    </row>
    <row r="494" ht="12.75" customHeight="1">
      <c r="B494" s="206"/>
      <c r="C494" s="187"/>
      <c r="E494" s="207"/>
      <c r="G494" s="207"/>
    </row>
    <row r="495" ht="12.75" customHeight="1">
      <c r="B495" s="206"/>
      <c r="C495" s="187"/>
      <c r="E495" s="207"/>
      <c r="G495" s="207"/>
    </row>
    <row r="496" ht="12.75" customHeight="1">
      <c r="B496" s="206"/>
      <c r="C496" s="187"/>
      <c r="E496" s="207"/>
      <c r="G496" s="207"/>
    </row>
    <row r="497" ht="12.75" customHeight="1">
      <c r="B497" s="206"/>
      <c r="C497" s="187"/>
      <c r="E497" s="207"/>
      <c r="G497" s="207"/>
    </row>
    <row r="498" ht="12.75" customHeight="1">
      <c r="B498" s="206"/>
      <c r="C498" s="187"/>
      <c r="E498" s="207"/>
      <c r="G498" s="207"/>
    </row>
    <row r="499" ht="12.75" customHeight="1">
      <c r="B499" s="206"/>
      <c r="C499" s="187"/>
      <c r="E499" s="207"/>
      <c r="G499" s="207"/>
    </row>
    <row r="500" ht="12.75" customHeight="1">
      <c r="B500" s="206"/>
      <c r="C500" s="187"/>
      <c r="E500" s="207"/>
      <c r="G500" s="207"/>
    </row>
    <row r="501" ht="12.75" customHeight="1">
      <c r="B501" s="206"/>
      <c r="C501" s="187"/>
      <c r="E501" s="207"/>
      <c r="G501" s="207"/>
    </row>
    <row r="502" ht="12.75" customHeight="1">
      <c r="B502" s="206"/>
      <c r="C502" s="187"/>
      <c r="E502" s="207"/>
      <c r="G502" s="207"/>
    </row>
    <row r="503" ht="12.75" customHeight="1">
      <c r="B503" s="206"/>
      <c r="C503" s="187"/>
      <c r="E503" s="207"/>
      <c r="G503" s="207"/>
    </row>
    <row r="504" ht="12.75" customHeight="1">
      <c r="B504" s="206"/>
      <c r="C504" s="187"/>
      <c r="E504" s="207"/>
      <c r="G504" s="207"/>
    </row>
    <row r="505" ht="12.75" customHeight="1">
      <c r="B505" s="206"/>
      <c r="C505" s="187"/>
      <c r="E505" s="207"/>
      <c r="G505" s="207"/>
    </row>
    <row r="506" ht="12.75" customHeight="1">
      <c r="B506" s="206"/>
      <c r="C506" s="187"/>
      <c r="E506" s="207"/>
      <c r="G506" s="207"/>
    </row>
    <row r="507" ht="12.75" customHeight="1">
      <c r="B507" s="206"/>
      <c r="C507" s="187"/>
      <c r="E507" s="207"/>
      <c r="G507" s="207"/>
    </row>
    <row r="508" ht="12.75" customHeight="1">
      <c r="B508" s="206"/>
      <c r="C508" s="187"/>
      <c r="E508" s="207"/>
      <c r="G508" s="207"/>
    </row>
    <row r="509" ht="12.75" customHeight="1">
      <c r="B509" s="206"/>
      <c r="C509" s="187"/>
      <c r="E509" s="207"/>
      <c r="G509" s="207"/>
    </row>
    <row r="510" ht="12.75" customHeight="1">
      <c r="B510" s="206"/>
      <c r="C510" s="187"/>
      <c r="E510" s="207"/>
      <c r="G510" s="207"/>
    </row>
    <row r="511" ht="12.75" customHeight="1">
      <c r="B511" s="206"/>
      <c r="C511" s="187"/>
      <c r="E511" s="207"/>
      <c r="G511" s="207"/>
    </row>
    <row r="512" ht="12.75" customHeight="1">
      <c r="B512" s="206"/>
      <c r="C512" s="187"/>
      <c r="E512" s="207"/>
      <c r="G512" s="207"/>
    </row>
    <row r="513" ht="12.75" customHeight="1">
      <c r="B513" s="206"/>
      <c r="C513" s="187"/>
      <c r="E513" s="207"/>
      <c r="G513" s="207"/>
    </row>
    <row r="514" ht="12.75" customHeight="1">
      <c r="B514" s="206"/>
      <c r="C514" s="187"/>
      <c r="E514" s="207"/>
      <c r="G514" s="207"/>
    </row>
    <row r="515" ht="12.75" customHeight="1">
      <c r="B515" s="206"/>
      <c r="C515" s="187"/>
      <c r="E515" s="207"/>
      <c r="G515" s="207"/>
    </row>
    <row r="516" ht="12.75" customHeight="1">
      <c r="B516" s="206"/>
      <c r="C516" s="187"/>
      <c r="E516" s="207"/>
      <c r="G516" s="207"/>
    </row>
    <row r="517" ht="12.75" customHeight="1">
      <c r="B517" s="206"/>
      <c r="C517" s="187"/>
      <c r="E517" s="207"/>
      <c r="G517" s="207"/>
    </row>
    <row r="518" ht="12.75" customHeight="1">
      <c r="B518" s="206"/>
      <c r="C518" s="187"/>
      <c r="E518" s="207"/>
      <c r="G518" s="207"/>
    </row>
    <row r="519" ht="12.75" customHeight="1">
      <c r="B519" s="206"/>
      <c r="C519" s="187"/>
      <c r="E519" s="207"/>
      <c r="G519" s="207"/>
    </row>
    <row r="520" ht="12.75" customHeight="1">
      <c r="B520" s="206"/>
      <c r="C520" s="187"/>
      <c r="E520" s="207"/>
      <c r="G520" s="207"/>
    </row>
    <row r="521" ht="12.75" customHeight="1">
      <c r="B521" s="206"/>
      <c r="C521" s="187"/>
      <c r="E521" s="207"/>
      <c r="G521" s="207"/>
    </row>
    <row r="522" ht="12.75" customHeight="1">
      <c r="B522" s="206"/>
      <c r="C522" s="187"/>
      <c r="E522" s="207"/>
      <c r="G522" s="207"/>
    </row>
    <row r="523" ht="12.75" customHeight="1">
      <c r="B523" s="206"/>
      <c r="C523" s="187"/>
      <c r="E523" s="207"/>
      <c r="G523" s="207"/>
    </row>
    <row r="524" ht="12.75" customHeight="1">
      <c r="B524" s="206"/>
      <c r="C524" s="187"/>
      <c r="E524" s="207"/>
      <c r="G524" s="207"/>
    </row>
    <row r="525" ht="12.75" customHeight="1">
      <c r="B525" s="206"/>
      <c r="C525" s="187"/>
      <c r="E525" s="207"/>
      <c r="G525" s="207"/>
    </row>
    <row r="526" ht="12.75" customHeight="1">
      <c r="B526" s="206"/>
      <c r="C526" s="187"/>
      <c r="E526" s="207"/>
      <c r="G526" s="207"/>
    </row>
    <row r="527" ht="12.75" customHeight="1">
      <c r="B527" s="206"/>
      <c r="C527" s="187"/>
      <c r="E527" s="207"/>
      <c r="G527" s="207"/>
    </row>
    <row r="528" ht="12.75" customHeight="1">
      <c r="B528" s="206"/>
      <c r="C528" s="187"/>
      <c r="E528" s="207"/>
      <c r="G528" s="207"/>
    </row>
    <row r="529" ht="12.75" customHeight="1">
      <c r="B529" s="206"/>
      <c r="C529" s="187"/>
      <c r="E529" s="207"/>
      <c r="G529" s="207"/>
    </row>
    <row r="530" ht="12.75" customHeight="1">
      <c r="B530" s="206"/>
      <c r="C530" s="187"/>
      <c r="E530" s="207"/>
      <c r="G530" s="207"/>
    </row>
    <row r="531" ht="12.75" customHeight="1">
      <c r="B531" s="206"/>
      <c r="C531" s="187"/>
      <c r="E531" s="207"/>
      <c r="G531" s="207"/>
    </row>
    <row r="532" ht="12.75" customHeight="1">
      <c r="B532" s="206"/>
      <c r="C532" s="187"/>
      <c r="E532" s="207"/>
      <c r="G532" s="207"/>
    </row>
    <row r="533" ht="12.75" customHeight="1">
      <c r="B533" s="206"/>
      <c r="C533" s="187"/>
      <c r="E533" s="207"/>
      <c r="G533" s="207"/>
    </row>
    <row r="534" ht="12.75" customHeight="1">
      <c r="B534" s="206"/>
      <c r="C534" s="187"/>
      <c r="E534" s="207"/>
      <c r="G534" s="207"/>
    </row>
    <row r="535" ht="12.75" customHeight="1">
      <c r="B535" s="206"/>
      <c r="C535" s="187"/>
      <c r="E535" s="207"/>
      <c r="G535" s="207"/>
    </row>
    <row r="536" ht="12.75" customHeight="1">
      <c r="B536" s="206"/>
      <c r="C536" s="187"/>
      <c r="E536" s="207"/>
      <c r="G536" s="207"/>
    </row>
    <row r="537" ht="12.75" customHeight="1">
      <c r="B537" s="206"/>
      <c r="C537" s="187"/>
      <c r="E537" s="207"/>
      <c r="G537" s="207"/>
    </row>
    <row r="538" ht="12.75" customHeight="1">
      <c r="B538" s="206"/>
      <c r="C538" s="187"/>
      <c r="E538" s="207"/>
      <c r="G538" s="207"/>
    </row>
    <row r="539" ht="12.75" customHeight="1">
      <c r="B539" s="206"/>
      <c r="C539" s="187"/>
      <c r="E539" s="207"/>
      <c r="G539" s="207"/>
    </row>
    <row r="540" ht="12.75" customHeight="1">
      <c r="B540" s="206"/>
      <c r="C540" s="187"/>
      <c r="E540" s="207"/>
      <c r="G540" s="207"/>
    </row>
    <row r="541" ht="12.75" customHeight="1">
      <c r="B541" s="206"/>
      <c r="C541" s="187"/>
      <c r="E541" s="207"/>
      <c r="G541" s="207"/>
    </row>
    <row r="542" ht="12.75" customHeight="1">
      <c r="B542" s="206"/>
      <c r="C542" s="187"/>
      <c r="E542" s="207"/>
      <c r="G542" s="207"/>
    </row>
    <row r="543" ht="12.75" customHeight="1">
      <c r="B543" s="206"/>
      <c r="C543" s="187"/>
      <c r="E543" s="207"/>
      <c r="G543" s="207"/>
    </row>
    <row r="544" ht="12.75" customHeight="1">
      <c r="B544" s="206"/>
      <c r="C544" s="187"/>
      <c r="E544" s="207"/>
      <c r="G544" s="207"/>
    </row>
    <row r="545" ht="12.75" customHeight="1">
      <c r="B545" s="206"/>
      <c r="C545" s="187"/>
      <c r="E545" s="207"/>
      <c r="G545" s="207"/>
    </row>
    <row r="546" ht="12.75" customHeight="1">
      <c r="B546" s="206"/>
      <c r="C546" s="187"/>
      <c r="E546" s="207"/>
      <c r="G546" s="207"/>
    </row>
    <row r="547" ht="12.75" customHeight="1">
      <c r="B547" s="206"/>
      <c r="C547" s="187"/>
      <c r="E547" s="207"/>
      <c r="G547" s="207"/>
    </row>
    <row r="548" ht="12.75" customHeight="1">
      <c r="B548" s="206"/>
      <c r="C548" s="187"/>
      <c r="E548" s="207"/>
      <c r="G548" s="207"/>
    </row>
    <row r="549" ht="12.75" customHeight="1">
      <c r="B549" s="206"/>
      <c r="C549" s="187"/>
      <c r="E549" s="207"/>
      <c r="G549" s="207"/>
    </row>
    <row r="550" ht="12.75" customHeight="1">
      <c r="B550" s="206"/>
      <c r="C550" s="187"/>
      <c r="E550" s="207"/>
      <c r="G550" s="207"/>
    </row>
    <row r="551" ht="12.75" customHeight="1">
      <c r="B551" s="206"/>
      <c r="C551" s="187"/>
      <c r="E551" s="207"/>
      <c r="G551" s="207"/>
    </row>
    <row r="552" ht="12.75" customHeight="1">
      <c r="B552" s="206"/>
      <c r="C552" s="187"/>
      <c r="E552" s="207"/>
      <c r="G552" s="207"/>
    </row>
    <row r="553" ht="12.75" customHeight="1">
      <c r="B553" s="206"/>
      <c r="C553" s="187"/>
      <c r="E553" s="207"/>
      <c r="G553" s="207"/>
    </row>
    <row r="554" ht="12.75" customHeight="1">
      <c r="B554" s="206"/>
      <c r="C554" s="187"/>
      <c r="E554" s="207"/>
      <c r="G554" s="207"/>
    </row>
    <row r="555" ht="12.75" customHeight="1">
      <c r="B555" s="206"/>
      <c r="C555" s="187"/>
      <c r="E555" s="207"/>
      <c r="G555" s="207"/>
    </row>
    <row r="556" ht="12.75" customHeight="1">
      <c r="B556" s="206"/>
      <c r="C556" s="187"/>
      <c r="E556" s="207"/>
      <c r="G556" s="207"/>
    </row>
    <row r="557" ht="12.75" customHeight="1">
      <c r="B557" s="206"/>
      <c r="C557" s="187"/>
      <c r="E557" s="207"/>
      <c r="G557" s="207"/>
    </row>
    <row r="558" ht="12.75" customHeight="1">
      <c r="B558" s="206"/>
      <c r="C558" s="187"/>
      <c r="E558" s="207"/>
      <c r="G558" s="207"/>
    </row>
    <row r="559" ht="12.75" customHeight="1">
      <c r="B559" s="206"/>
      <c r="C559" s="187"/>
      <c r="E559" s="207"/>
      <c r="G559" s="207"/>
    </row>
    <row r="560" ht="12.75" customHeight="1">
      <c r="B560" s="206"/>
      <c r="C560" s="187"/>
      <c r="E560" s="207"/>
      <c r="G560" s="207"/>
    </row>
    <row r="561" ht="12.75" customHeight="1">
      <c r="B561" s="206"/>
      <c r="C561" s="187"/>
      <c r="E561" s="207"/>
      <c r="G561" s="207"/>
    </row>
    <row r="562" ht="12.75" customHeight="1">
      <c r="B562" s="206"/>
      <c r="C562" s="187"/>
      <c r="E562" s="207"/>
      <c r="G562" s="207"/>
    </row>
    <row r="563" ht="12.75" customHeight="1">
      <c r="B563" s="206"/>
      <c r="C563" s="187"/>
      <c r="E563" s="207"/>
      <c r="G563" s="207"/>
    </row>
    <row r="564" ht="12.75" customHeight="1">
      <c r="B564" s="206"/>
      <c r="C564" s="187"/>
      <c r="E564" s="207"/>
      <c r="G564" s="207"/>
    </row>
    <row r="565" ht="12.75" customHeight="1">
      <c r="B565" s="206"/>
      <c r="C565" s="187"/>
      <c r="E565" s="207"/>
      <c r="G565" s="207"/>
    </row>
    <row r="566" ht="12.75" customHeight="1">
      <c r="B566" s="206"/>
      <c r="C566" s="187"/>
      <c r="E566" s="207"/>
      <c r="G566" s="207"/>
    </row>
    <row r="567" ht="12.75" customHeight="1">
      <c r="B567" s="206"/>
      <c r="C567" s="187"/>
      <c r="E567" s="207"/>
      <c r="G567" s="207"/>
    </row>
    <row r="568" ht="12.75" customHeight="1">
      <c r="B568" s="206"/>
      <c r="C568" s="187"/>
      <c r="E568" s="207"/>
      <c r="G568" s="207"/>
    </row>
    <row r="569" ht="12.75" customHeight="1">
      <c r="B569" s="206"/>
      <c r="C569" s="187"/>
      <c r="E569" s="207"/>
      <c r="G569" s="207"/>
    </row>
    <row r="570" ht="12.75" customHeight="1">
      <c r="B570" s="206"/>
      <c r="C570" s="187"/>
      <c r="E570" s="207"/>
      <c r="G570" s="207"/>
    </row>
    <row r="571" ht="12.75" customHeight="1">
      <c r="B571" s="206"/>
      <c r="C571" s="187"/>
      <c r="E571" s="207"/>
      <c r="G571" s="207"/>
    </row>
    <row r="572" ht="12.75" customHeight="1">
      <c r="B572" s="206"/>
      <c r="C572" s="187"/>
      <c r="E572" s="207"/>
      <c r="G572" s="207"/>
    </row>
    <row r="573" ht="12.75" customHeight="1">
      <c r="B573" s="206"/>
      <c r="C573" s="187"/>
      <c r="E573" s="207"/>
      <c r="G573" s="207"/>
    </row>
    <row r="574" ht="12.75" customHeight="1">
      <c r="B574" s="206"/>
      <c r="C574" s="187"/>
      <c r="E574" s="207"/>
      <c r="G574" s="207"/>
    </row>
    <row r="575" ht="12.75" customHeight="1">
      <c r="B575" s="206"/>
      <c r="C575" s="187"/>
      <c r="E575" s="207"/>
      <c r="G575" s="207"/>
    </row>
    <row r="576" ht="12.75" customHeight="1">
      <c r="B576" s="206"/>
      <c r="C576" s="187"/>
      <c r="E576" s="207"/>
      <c r="G576" s="207"/>
    </row>
    <row r="577" ht="12.75" customHeight="1">
      <c r="B577" s="206"/>
      <c r="C577" s="187"/>
      <c r="E577" s="207"/>
      <c r="G577" s="207"/>
    </row>
    <row r="578" ht="12.75" customHeight="1">
      <c r="B578" s="206"/>
      <c r="C578" s="187"/>
      <c r="E578" s="207"/>
      <c r="G578" s="207"/>
    </row>
    <row r="579" ht="12.75" customHeight="1">
      <c r="B579" s="206"/>
      <c r="C579" s="187"/>
      <c r="E579" s="207"/>
      <c r="G579" s="207"/>
    </row>
    <row r="580" ht="12.75" customHeight="1">
      <c r="B580" s="206"/>
      <c r="C580" s="187"/>
      <c r="E580" s="207"/>
      <c r="G580" s="207"/>
    </row>
    <row r="581" ht="12.75" customHeight="1">
      <c r="B581" s="206"/>
      <c r="C581" s="187"/>
      <c r="E581" s="207"/>
      <c r="G581" s="207"/>
    </row>
    <row r="582" ht="12.75" customHeight="1">
      <c r="B582" s="206"/>
      <c r="C582" s="187"/>
      <c r="E582" s="207"/>
      <c r="G582" s="207"/>
    </row>
    <row r="583" ht="12.75" customHeight="1">
      <c r="B583" s="206"/>
      <c r="C583" s="187"/>
      <c r="E583" s="207"/>
      <c r="G583" s="207"/>
    </row>
    <row r="584" ht="12.75" customHeight="1">
      <c r="B584" s="206"/>
      <c r="C584" s="187"/>
      <c r="E584" s="207"/>
      <c r="G584" s="207"/>
    </row>
    <row r="585" ht="12.75" customHeight="1">
      <c r="B585" s="206"/>
      <c r="C585" s="187"/>
      <c r="E585" s="207"/>
      <c r="G585" s="207"/>
    </row>
    <row r="586" ht="12.75" customHeight="1">
      <c r="B586" s="206"/>
      <c r="C586" s="187"/>
      <c r="E586" s="207"/>
      <c r="G586" s="207"/>
    </row>
    <row r="587" ht="12.75" customHeight="1">
      <c r="B587" s="206"/>
      <c r="C587" s="187"/>
      <c r="E587" s="207"/>
      <c r="G587" s="207"/>
    </row>
    <row r="588" ht="12.75" customHeight="1">
      <c r="B588" s="206"/>
      <c r="C588" s="187"/>
      <c r="E588" s="207"/>
      <c r="G588" s="207"/>
    </row>
    <row r="589" ht="12.75" customHeight="1">
      <c r="B589" s="206"/>
      <c r="C589" s="187"/>
      <c r="E589" s="207"/>
      <c r="G589" s="207"/>
    </row>
    <row r="590" ht="12.75" customHeight="1">
      <c r="B590" s="206"/>
      <c r="C590" s="187"/>
      <c r="E590" s="207"/>
      <c r="G590" s="207"/>
    </row>
    <row r="591" ht="12.75" customHeight="1">
      <c r="B591" s="206"/>
      <c r="C591" s="187"/>
      <c r="E591" s="207"/>
      <c r="G591" s="207"/>
    </row>
    <row r="592" ht="12.75" customHeight="1">
      <c r="B592" s="206"/>
      <c r="C592" s="187"/>
      <c r="E592" s="207"/>
      <c r="G592" s="207"/>
    </row>
    <row r="593" ht="12.75" customHeight="1">
      <c r="B593" s="206"/>
      <c r="C593" s="187"/>
      <c r="E593" s="207"/>
      <c r="G593" s="207"/>
    </row>
    <row r="594" ht="12.75" customHeight="1">
      <c r="B594" s="206"/>
      <c r="C594" s="187"/>
      <c r="E594" s="207"/>
      <c r="G594" s="207"/>
    </row>
    <row r="595" ht="12.75" customHeight="1">
      <c r="B595" s="206"/>
      <c r="C595" s="187"/>
      <c r="E595" s="207"/>
      <c r="G595" s="207"/>
    </row>
    <row r="596" ht="12.75" customHeight="1">
      <c r="B596" s="206"/>
      <c r="C596" s="187"/>
      <c r="E596" s="207"/>
      <c r="G596" s="207"/>
    </row>
    <row r="597" ht="12.75" customHeight="1">
      <c r="B597" s="206"/>
      <c r="C597" s="187"/>
      <c r="E597" s="207"/>
      <c r="G597" s="207"/>
    </row>
    <row r="598" ht="12.75" customHeight="1">
      <c r="B598" s="206"/>
      <c r="C598" s="187"/>
      <c r="E598" s="207"/>
      <c r="G598" s="207"/>
    </row>
    <row r="599" ht="12.75" customHeight="1">
      <c r="B599" s="206"/>
      <c r="C599" s="187"/>
      <c r="E599" s="207"/>
      <c r="G599" s="207"/>
    </row>
    <row r="600" ht="12.75" customHeight="1">
      <c r="B600" s="206"/>
      <c r="C600" s="187"/>
      <c r="E600" s="207"/>
      <c r="G600" s="207"/>
    </row>
    <row r="601" ht="12.75" customHeight="1">
      <c r="B601" s="206"/>
      <c r="C601" s="187"/>
      <c r="E601" s="207"/>
      <c r="G601" s="207"/>
    </row>
    <row r="602" ht="12.75" customHeight="1">
      <c r="B602" s="206"/>
      <c r="C602" s="187"/>
      <c r="E602" s="207"/>
      <c r="G602" s="207"/>
    </row>
    <row r="603" ht="12.75" customHeight="1">
      <c r="B603" s="206"/>
      <c r="C603" s="187"/>
      <c r="E603" s="207"/>
      <c r="G603" s="207"/>
    </row>
    <row r="604" ht="12.75" customHeight="1">
      <c r="B604" s="206"/>
      <c r="C604" s="187"/>
      <c r="E604" s="207"/>
      <c r="G604" s="207"/>
    </row>
    <row r="605" ht="12.75" customHeight="1">
      <c r="B605" s="206"/>
      <c r="C605" s="187"/>
      <c r="E605" s="207"/>
      <c r="G605" s="207"/>
    </row>
    <row r="606" ht="12.75" customHeight="1">
      <c r="B606" s="206"/>
      <c r="C606" s="187"/>
      <c r="E606" s="207"/>
      <c r="G606" s="207"/>
    </row>
    <row r="607" ht="12.75" customHeight="1">
      <c r="B607" s="206"/>
      <c r="C607" s="187"/>
      <c r="E607" s="207"/>
      <c r="G607" s="207"/>
    </row>
    <row r="608" ht="12.75" customHeight="1">
      <c r="B608" s="206"/>
      <c r="C608" s="187"/>
      <c r="E608" s="207"/>
      <c r="G608" s="207"/>
    </row>
    <row r="609" ht="12.75" customHeight="1">
      <c r="B609" s="206"/>
      <c r="C609" s="187"/>
      <c r="E609" s="207"/>
      <c r="G609" s="207"/>
    </row>
    <row r="610" ht="12.75" customHeight="1">
      <c r="B610" s="206"/>
      <c r="C610" s="187"/>
      <c r="E610" s="207"/>
      <c r="G610" s="207"/>
    </row>
    <row r="611" ht="12.75" customHeight="1">
      <c r="B611" s="206"/>
      <c r="C611" s="187"/>
      <c r="E611" s="207"/>
      <c r="G611" s="207"/>
    </row>
    <row r="612" ht="12.75" customHeight="1">
      <c r="B612" s="206"/>
      <c r="C612" s="187"/>
      <c r="E612" s="207"/>
      <c r="G612" s="207"/>
    </row>
    <row r="613" ht="12.75" customHeight="1">
      <c r="B613" s="206"/>
      <c r="C613" s="187"/>
      <c r="E613" s="207"/>
      <c r="G613" s="207"/>
    </row>
    <row r="614" ht="12.75" customHeight="1">
      <c r="B614" s="206"/>
      <c r="C614" s="187"/>
      <c r="E614" s="207"/>
      <c r="G614" s="207"/>
    </row>
    <row r="615" ht="12.75" customHeight="1">
      <c r="B615" s="206"/>
      <c r="C615" s="187"/>
      <c r="E615" s="207"/>
      <c r="G615" s="207"/>
    </row>
    <row r="616" ht="12.75" customHeight="1">
      <c r="B616" s="206"/>
      <c r="C616" s="187"/>
      <c r="E616" s="207"/>
      <c r="G616" s="207"/>
    </row>
    <row r="617" ht="12.75" customHeight="1">
      <c r="B617" s="206"/>
      <c r="C617" s="187"/>
      <c r="E617" s="207"/>
      <c r="G617" s="207"/>
    </row>
    <row r="618" ht="12.75" customHeight="1">
      <c r="B618" s="206"/>
      <c r="C618" s="187"/>
      <c r="E618" s="207"/>
      <c r="G618" s="207"/>
    </row>
    <row r="619" ht="12.75" customHeight="1">
      <c r="B619" s="206"/>
      <c r="C619" s="187"/>
      <c r="E619" s="207"/>
      <c r="G619" s="207"/>
    </row>
    <row r="620" ht="12.75" customHeight="1">
      <c r="B620" s="206"/>
      <c r="C620" s="187"/>
      <c r="E620" s="207"/>
      <c r="G620" s="207"/>
    </row>
    <row r="621" ht="12.75" customHeight="1">
      <c r="B621" s="206"/>
      <c r="C621" s="187"/>
      <c r="E621" s="207"/>
      <c r="G621" s="207"/>
    </row>
    <row r="622" ht="12.75" customHeight="1">
      <c r="B622" s="206"/>
      <c r="C622" s="187"/>
      <c r="E622" s="207"/>
      <c r="G622" s="207"/>
    </row>
    <row r="623" ht="12.75" customHeight="1">
      <c r="B623" s="206"/>
      <c r="C623" s="187"/>
      <c r="E623" s="207"/>
      <c r="G623" s="207"/>
    </row>
    <row r="624" ht="12.75" customHeight="1">
      <c r="B624" s="206"/>
      <c r="C624" s="187"/>
      <c r="E624" s="207"/>
      <c r="G624" s="207"/>
    </row>
    <row r="625" ht="12.75" customHeight="1">
      <c r="B625" s="206"/>
      <c r="C625" s="187"/>
      <c r="E625" s="207"/>
      <c r="G625" s="207"/>
    </row>
    <row r="626" ht="12.75" customHeight="1">
      <c r="B626" s="206"/>
      <c r="C626" s="187"/>
      <c r="E626" s="207"/>
      <c r="G626" s="207"/>
    </row>
    <row r="627" ht="12.75" customHeight="1">
      <c r="B627" s="206"/>
      <c r="C627" s="187"/>
      <c r="E627" s="207"/>
      <c r="G627" s="207"/>
    </row>
    <row r="628" ht="12.75" customHeight="1">
      <c r="B628" s="206"/>
      <c r="C628" s="187"/>
      <c r="E628" s="207"/>
      <c r="G628" s="207"/>
    </row>
    <row r="629" ht="12.75" customHeight="1">
      <c r="B629" s="206"/>
      <c r="C629" s="187"/>
      <c r="E629" s="207"/>
      <c r="G629" s="207"/>
    </row>
    <row r="630" ht="12.75" customHeight="1">
      <c r="B630" s="206"/>
      <c r="C630" s="187"/>
      <c r="E630" s="207"/>
      <c r="G630" s="207"/>
    </row>
    <row r="631" ht="12.75" customHeight="1">
      <c r="B631" s="206"/>
      <c r="C631" s="187"/>
      <c r="E631" s="207"/>
      <c r="G631" s="207"/>
    </row>
    <row r="632" ht="12.75" customHeight="1">
      <c r="B632" s="206"/>
      <c r="C632" s="187"/>
      <c r="E632" s="207"/>
      <c r="G632" s="207"/>
    </row>
    <row r="633" ht="12.75" customHeight="1">
      <c r="B633" s="206"/>
      <c r="C633" s="187"/>
      <c r="E633" s="207"/>
      <c r="G633" s="207"/>
    </row>
    <row r="634" ht="12.75" customHeight="1">
      <c r="B634" s="206"/>
      <c r="C634" s="187"/>
      <c r="E634" s="207"/>
      <c r="G634" s="207"/>
    </row>
    <row r="635" ht="12.75" customHeight="1">
      <c r="B635" s="206"/>
      <c r="C635" s="187"/>
      <c r="E635" s="207"/>
      <c r="G635" s="207"/>
    </row>
    <row r="636" ht="12.75" customHeight="1">
      <c r="B636" s="206"/>
      <c r="C636" s="187"/>
      <c r="E636" s="207"/>
      <c r="G636" s="207"/>
    </row>
    <row r="637" ht="12.75" customHeight="1">
      <c r="B637" s="206"/>
      <c r="C637" s="187"/>
      <c r="E637" s="207"/>
      <c r="G637" s="207"/>
    </row>
    <row r="638" ht="12.75" customHeight="1">
      <c r="B638" s="206"/>
      <c r="C638" s="187"/>
      <c r="E638" s="207"/>
      <c r="G638" s="207"/>
    </row>
    <row r="639" ht="12.75" customHeight="1">
      <c r="B639" s="206"/>
      <c r="C639" s="187"/>
      <c r="E639" s="207"/>
      <c r="G639" s="207"/>
    </row>
    <row r="640" ht="12.75" customHeight="1">
      <c r="B640" s="206"/>
      <c r="C640" s="187"/>
      <c r="E640" s="207"/>
      <c r="G640" s="207"/>
    </row>
    <row r="641" ht="12.75" customHeight="1">
      <c r="B641" s="206"/>
      <c r="C641" s="187"/>
      <c r="E641" s="207"/>
      <c r="G641" s="207"/>
    </row>
    <row r="642" ht="12.75" customHeight="1">
      <c r="B642" s="206"/>
      <c r="C642" s="187"/>
      <c r="E642" s="207"/>
      <c r="G642" s="207"/>
    </row>
    <row r="643" ht="12.75" customHeight="1">
      <c r="B643" s="206"/>
      <c r="C643" s="187"/>
      <c r="E643" s="207"/>
      <c r="G643" s="207"/>
    </row>
    <row r="644" ht="12.75" customHeight="1">
      <c r="B644" s="206"/>
      <c r="C644" s="187"/>
      <c r="E644" s="207"/>
      <c r="G644" s="207"/>
    </row>
    <row r="645" ht="12.75" customHeight="1">
      <c r="B645" s="206"/>
      <c r="C645" s="187"/>
      <c r="E645" s="207"/>
      <c r="G645" s="207"/>
    </row>
    <row r="646" ht="12.75" customHeight="1">
      <c r="B646" s="206"/>
      <c r="C646" s="187"/>
      <c r="E646" s="207"/>
      <c r="G646" s="207"/>
    </row>
    <row r="647" ht="12.75" customHeight="1">
      <c r="B647" s="206"/>
      <c r="C647" s="187"/>
      <c r="E647" s="207"/>
      <c r="G647" s="207"/>
    </row>
    <row r="648" ht="12.75" customHeight="1">
      <c r="B648" s="206"/>
      <c r="C648" s="187"/>
      <c r="E648" s="207"/>
      <c r="G648" s="207"/>
    </row>
    <row r="649" ht="12.75" customHeight="1">
      <c r="B649" s="206"/>
      <c r="C649" s="187"/>
      <c r="E649" s="207"/>
      <c r="G649" s="207"/>
    </row>
    <row r="650" ht="12.75" customHeight="1">
      <c r="B650" s="206"/>
      <c r="C650" s="187"/>
      <c r="E650" s="207"/>
      <c r="G650" s="207"/>
    </row>
    <row r="651" ht="12.75" customHeight="1">
      <c r="B651" s="206"/>
      <c r="C651" s="187"/>
      <c r="E651" s="207"/>
      <c r="G651" s="207"/>
    </row>
    <row r="652" ht="12.75" customHeight="1">
      <c r="B652" s="206"/>
      <c r="C652" s="187"/>
      <c r="E652" s="207"/>
      <c r="G652" s="207"/>
    </row>
    <row r="653" ht="12.75" customHeight="1">
      <c r="B653" s="206"/>
      <c r="C653" s="187"/>
      <c r="E653" s="207"/>
      <c r="G653" s="207"/>
    </row>
    <row r="654" ht="12.75" customHeight="1">
      <c r="B654" s="206"/>
      <c r="C654" s="187"/>
      <c r="E654" s="207"/>
      <c r="G654" s="207"/>
    </row>
    <row r="655" ht="12.75" customHeight="1">
      <c r="B655" s="206"/>
      <c r="C655" s="187"/>
      <c r="E655" s="207"/>
      <c r="G655" s="207"/>
    </row>
    <row r="656" ht="12.75" customHeight="1">
      <c r="B656" s="206"/>
      <c r="C656" s="187"/>
      <c r="E656" s="207"/>
      <c r="G656" s="207"/>
    </row>
    <row r="657" ht="12.75" customHeight="1">
      <c r="B657" s="206"/>
      <c r="C657" s="187"/>
      <c r="E657" s="207"/>
      <c r="G657" s="207"/>
    </row>
    <row r="658" ht="12.75" customHeight="1">
      <c r="B658" s="206"/>
      <c r="C658" s="187"/>
      <c r="E658" s="207"/>
      <c r="G658" s="207"/>
    </row>
    <row r="659" ht="12.75" customHeight="1">
      <c r="B659" s="206"/>
      <c r="C659" s="187"/>
      <c r="E659" s="207"/>
      <c r="G659" s="207"/>
    </row>
    <row r="660" ht="12.75" customHeight="1">
      <c r="B660" s="206"/>
      <c r="C660" s="187"/>
      <c r="E660" s="207"/>
      <c r="G660" s="207"/>
    </row>
    <row r="661" ht="12.75" customHeight="1">
      <c r="B661" s="206"/>
      <c r="C661" s="187"/>
      <c r="E661" s="207"/>
      <c r="G661" s="207"/>
    </row>
    <row r="662" ht="12.75" customHeight="1">
      <c r="B662" s="206"/>
      <c r="C662" s="187"/>
      <c r="E662" s="207"/>
      <c r="G662" s="207"/>
    </row>
    <row r="663" ht="12.75" customHeight="1">
      <c r="B663" s="206"/>
      <c r="C663" s="187"/>
      <c r="E663" s="207"/>
      <c r="G663" s="207"/>
    </row>
    <row r="664" ht="12.75" customHeight="1">
      <c r="B664" s="206"/>
      <c r="C664" s="187"/>
      <c r="E664" s="207"/>
      <c r="G664" s="207"/>
    </row>
    <row r="665" ht="12.75" customHeight="1">
      <c r="B665" s="206"/>
      <c r="C665" s="187"/>
      <c r="E665" s="207"/>
      <c r="G665" s="207"/>
    </row>
    <row r="666" ht="12.75" customHeight="1">
      <c r="B666" s="206"/>
      <c r="C666" s="187"/>
      <c r="E666" s="207"/>
      <c r="G666" s="207"/>
    </row>
    <row r="667" ht="12.75" customHeight="1">
      <c r="B667" s="206"/>
      <c r="C667" s="187"/>
      <c r="E667" s="207"/>
      <c r="G667" s="207"/>
    </row>
    <row r="668" ht="12.75" customHeight="1">
      <c r="B668" s="206"/>
      <c r="C668" s="187"/>
      <c r="E668" s="207"/>
      <c r="G668" s="207"/>
    </row>
    <row r="669" ht="12.75" customHeight="1">
      <c r="B669" s="206"/>
      <c r="C669" s="187"/>
      <c r="E669" s="207"/>
      <c r="G669" s="207"/>
    </row>
    <row r="670" ht="12.75" customHeight="1">
      <c r="B670" s="206"/>
      <c r="C670" s="187"/>
      <c r="E670" s="207"/>
      <c r="G670" s="207"/>
    </row>
    <row r="671" ht="12.75" customHeight="1">
      <c r="B671" s="206"/>
      <c r="C671" s="187"/>
      <c r="E671" s="207"/>
      <c r="G671" s="207"/>
    </row>
    <row r="672" ht="12.75" customHeight="1">
      <c r="B672" s="206"/>
      <c r="C672" s="187"/>
      <c r="E672" s="207"/>
      <c r="G672" s="207"/>
    </row>
    <row r="673" ht="12.75" customHeight="1">
      <c r="B673" s="206"/>
      <c r="C673" s="187"/>
      <c r="E673" s="207"/>
      <c r="G673" s="207"/>
    </row>
    <row r="674" ht="12.75" customHeight="1">
      <c r="B674" s="206"/>
      <c r="C674" s="187"/>
      <c r="E674" s="207"/>
      <c r="G674" s="207"/>
    </row>
    <row r="675" ht="12.75" customHeight="1">
      <c r="B675" s="206"/>
      <c r="C675" s="187"/>
      <c r="E675" s="207"/>
      <c r="G675" s="207"/>
    </row>
    <row r="676" ht="12.75" customHeight="1">
      <c r="B676" s="206"/>
      <c r="C676" s="187"/>
      <c r="E676" s="207"/>
      <c r="G676" s="207"/>
    </row>
    <row r="677" ht="12.75" customHeight="1">
      <c r="B677" s="206"/>
      <c r="C677" s="187"/>
      <c r="E677" s="207"/>
      <c r="G677" s="207"/>
    </row>
    <row r="678" ht="12.75" customHeight="1">
      <c r="B678" s="206"/>
      <c r="C678" s="187"/>
      <c r="E678" s="207"/>
      <c r="G678" s="207"/>
    </row>
    <row r="679" ht="12.75" customHeight="1">
      <c r="B679" s="206"/>
      <c r="C679" s="187"/>
      <c r="E679" s="207"/>
      <c r="G679" s="207"/>
    </row>
    <row r="680" ht="12.75" customHeight="1">
      <c r="B680" s="206"/>
      <c r="C680" s="187"/>
      <c r="E680" s="207"/>
      <c r="G680" s="207"/>
    </row>
    <row r="681" ht="12.75" customHeight="1">
      <c r="B681" s="206"/>
      <c r="C681" s="187"/>
      <c r="E681" s="207"/>
      <c r="G681" s="207"/>
    </row>
    <row r="682" ht="12.75" customHeight="1">
      <c r="B682" s="206"/>
      <c r="C682" s="187"/>
      <c r="E682" s="207"/>
      <c r="G682" s="207"/>
    </row>
    <row r="683" ht="12.75" customHeight="1">
      <c r="B683" s="206"/>
      <c r="C683" s="187"/>
      <c r="E683" s="207"/>
      <c r="G683" s="207"/>
    </row>
    <row r="684" ht="12.75" customHeight="1">
      <c r="B684" s="206"/>
      <c r="C684" s="187"/>
      <c r="E684" s="207"/>
      <c r="G684" s="207"/>
    </row>
    <row r="685" ht="12.75" customHeight="1">
      <c r="B685" s="206"/>
      <c r="C685" s="187"/>
      <c r="E685" s="207"/>
      <c r="G685" s="207"/>
    </row>
    <row r="686" ht="12.75" customHeight="1">
      <c r="B686" s="206"/>
      <c r="C686" s="187"/>
      <c r="E686" s="207"/>
      <c r="G686" s="207"/>
    </row>
    <row r="687" ht="12.75" customHeight="1">
      <c r="B687" s="206"/>
      <c r="C687" s="187"/>
      <c r="E687" s="207"/>
      <c r="G687" s="207"/>
    </row>
    <row r="688" ht="12.75" customHeight="1">
      <c r="B688" s="206"/>
      <c r="C688" s="187"/>
      <c r="E688" s="207"/>
      <c r="G688" s="207"/>
    </row>
    <row r="689" ht="12.75" customHeight="1">
      <c r="B689" s="206"/>
      <c r="C689" s="187"/>
      <c r="E689" s="207"/>
      <c r="G689" s="207"/>
    </row>
    <row r="690" ht="12.75" customHeight="1">
      <c r="B690" s="206"/>
      <c r="C690" s="187"/>
      <c r="E690" s="207"/>
      <c r="G690" s="207"/>
    </row>
    <row r="691" ht="12.75" customHeight="1">
      <c r="B691" s="206"/>
      <c r="C691" s="187"/>
      <c r="E691" s="207"/>
      <c r="G691" s="207"/>
    </row>
    <row r="692" ht="12.75" customHeight="1">
      <c r="B692" s="206"/>
      <c r="C692" s="187"/>
      <c r="E692" s="207"/>
      <c r="G692" s="207"/>
    </row>
    <row r="693" ht="12.75" customHeight="1">
      <c r="B693" s="206"/>
      <c r="C693" s="187"/>
      <c r="E693" s="207"/>
      <c r="G693" s="207"/>
    </row>
    <row r="694" ht="12.75" customHeight="1">
      <c r="B694" s="206"/>
      <c r="C694" s="187"/>
      <c r="E694" s="207"/>
      <c r="G694" s="207"/>
    </row>
    <row r="695" ht="12.75" customHeight="1">
      <c r="B695" s="206"/>
      <c r="C695" s="187"/>
      <c r="E695" s="207"/>
      <c r="G695" s="207"/>
    </row>
    <row r="696" ht="12.75" customHeight="1">
      <c r="B696" s="206"/>
      <c r="C696" s="187"/>
      <c r="E696" s="207"/>
      <c r="G696" s="207"/>
    </row>
    <row r="697" ht="12.75" customHeight="1">
      <c r="B697" s="206"/>
      <c r="C697" s="187"/>
      <c r="E697" s="207"/>
      <c r="G697" s="207"/>
    </row>
    <row r="698" ht="12.75" customHeight="1">
      <c r="B698" s="206"/>
      <c r="C698" s="187"/>
      <c r="E698" s="207"/>
      <c r="G698" s="207"/>
    </row>
    <row r="699" ht="12.75" customHeight="1">
      <c r="B699" s="206"/>
      <c r="C699" s="187"/>
      <c r="E699" s="207"/>
      <c r="G699" s="207"/>
    </row>
    <row r="700" ht="12.75" customHeight="1">
      <c r="B700" s="206"/>
      <c r="C700" s="187"/>
      <c r="E700" s="207"/>
      <c r="G700" s="207"/>
    </row>
    <row r="701" ht="12.75" customHeight="1">
      <c r="B701" s="206"/>
      <c r="C701" s="187"/>
      <c r="E701" s="207"/>
      <c r="G701" s="207"/>
    </row>
    <row r="702" ht="12.75" customHeight="1">
      <c r="B702" s="206"/>
      <c r="C702" s="187"/>
      <c r="E702" s="207"/>
      <c r="G702" s="207"/>
    </row>
    <row r="703" ht="12.75" customHeight="1">
      <c r="B703" s="206"/>
      <c r="C703" s="187"/>
      <c r="E703" s="207"/>
      <c r="G703" s="207"/>
    </row>
    <row r="704" ht="12.75" customHeight="1">
      <c r="B704" s="206"/>
      <c r="C704" s="187"/>
      <c r="E704" s="207"/>
      <c r="G704" s="207"/>
    </row>
    <row r="705" ht="12.75" customHeight="1">
      <c r="B705" s="206"/>
      <c r="C705" s="187"/>
      <c r="E705" s="207"/>
      <c r="G705" s="207"/>
    </row>
    <row r="706" ht="12.75" customHeight="1">
      <c r="B706" s="206"/>
      <c r="C706" s="187"/>
      <c r="E706" s="207"/>
      <c r="G706" s="207"/>
    </row>
    <row r="707" ht="12.75" customHeight="1">
      <c r="B707" s="206"/>
      <c r="C707" s="187"/>
      <c r="E707" s="207"/>
      <c r="G707" s="207"/>
    </row>
    <row r="708" ht="12.75" customHeight="1">
      <c r="B708" s="206"/>
      <c r="C708" s="187"/>
      <c r="E708" s="207"/>
      <c r="G708" s="207"/>
    </row>
    <row r="709" ht="12.75" customHeight="1">
      <c r="B709" s="206"/>
      <c r="C709" s="187"/>
      <c r="E709" s="207"/>
      <c r="G709" s="207"/>
    </row>
    <row r="710" ht="12.75" customHeight="1">
      <c r="B710" s="206"/>
      <c r="C710" s="187"/>
      <c r="E710" s="207"/>
      <c r="G710" s="207"/>
    </row>
    <row r="711" ht="12.75" customHeight="1">
      <c r="B711" s="206"/>
      <c r="C711" s="187"/>
      <c r="E711" s="207"/>
      <c r="G711" s="207"/>
    </row>
    <row r="712" ht="12.75" customHeight="1">
      <c r="B712" s="206"/>
      <c r="C712" s="187"/>
      <c r="E712" s="207"/>
      <c r="G712" s="207"/>
    </row>
    <row r="713" ht="12.75" customHeight="1">
      <c r="B713" s="206"/>
      <c r="C713" s="187"/>
      <c r="E713" s="207"/>
      <c r="G713" s="207"/>
    </row>
    <row r="714" ht="12.75" customHeight="1">
      <c r="B714" s="206"/>
      <c r="C714" s="187"/>
      <c r="E714" s="207"/>
      <c r="G714" s="207"/>
    </row>
    <row r="715" ht="12.75" customHeight="1">
      <c r="B715" s="206"/>
      <c r="C715" s="187"/>
      <c r="E715" s="207"/>
      <c r="G715" s="207"/>
    </row>
    <row r="716" ht="12.75" customHeight="1">
      <c r="B716" s="206"/>
      <c r="C716" s="187"/>
      <c r="E716" s="207"/>
      <c r="G716" s="207"/>
    </row>
    <row r="717" ht="12.75" customHeight="1">
      <c r="B717" s="206"/>
      <c r="C717" s="187"/>
      <c r="E717" s="207"/>
      <c r="G717" s="207"/>
    </row>
    <row r="718" ht="12.75" customHeight="1">
      <c r="B718" s="206"/>
      <c r="C718" s="187"/>
      <c r="E718" s="207"/>
      <c r="G718" s="207"/>
    </row>
    <row r="719" ht="12.75" customHeight="1">
      <c r="B719" s="206"/>
      <c r="C719" s="187"/>
      <c r="E719" s="207"/>
      <c r="G719" s="207"/>
    </row>
    <row r="720" ht="12.75" customHeight="1">
      <c r="B720" s="206"/>
      <c r="C720" s="187"/>
      <c r="E720" s="207"/>
      <c r="G720" s="207"/>
    </row>
    <row r="721" ht="12.75" customHeight="1">
      <c r="B721" s="206"/>
      <c r="C721" s="187"/>
      <c r="E721" s="207"/>
      <c r="G721" s="207"/>
    </row>
    <row r="722" ht="12.75" customHeight="1">
      <c r="B722" s="206"/>
      <c r="C722" s="187"/>
      <c r="E722" s="207"/>
      <c r="G722" s="207"/>
    </row>
    <row r="723" ht="12.75" customHeight="1">
      <c r="B723" s="206"/>
      <c r="C723" s="187"/>
      <c r="E723" s="207"/>
      <c r="G723" s="207"/>
    </row>
    <row r="724" ht="12.75" customHeight="1">
      <c r="B724" s="206"/>
      <c r="C724" s="187"/>
      <c r="E724" s="207"/>
      <c r="G724" s="207"/>
    </row>
    <row r="725" ht="12.75" customHeight="1">
      <c r="B725" s="206"/>
      <c r="C725" s="187"/>
      <c r="E725" s="207"/>
      <c r="G725" s="207"/>
    </row>
    <row r="726" ht="12.75" customHeight="1">
      <c r="B726" s="206"/>
      <c r="C726" s="187"/>
      <c r="E726" s="207"/>
      <c r="G726" s="207"/>
    </row>
    <row r="727" ht="12.75" customHeight="1">
      <c r="B727" s="206"/>
      <c r="C727" s="187"/>
      <c r="E727" s="207"/>
      <c r="G727" s="207"/>
    </row>
    <row r="728" ht="12.75" customHeight="1">
      <c r="B728" s="206"/>
      <c r="C728" s="187"/>
      <c r="E728" s="207"/>
      <c r="G728" s="207"/>
    </row>
    <row r="729" ht="12.75" customHeight="1">
      <c r="B729" s="206"/>
      <c r="C729" s="187"/>
      <c r="E729" s="207"/>
      <c r="G729" s="207"/>
    </row>
    <row r="730" ht="12.75" customHeight="1">
      <c r="B730" s="206"/>
      <c r="C730" s="187"/>
      <c r="E730" s="207"/>
      <c r="G730" s="207"/>
    </row>
    <row r="731" ht="12.75" customHeight="1">
      <c r="B731" s="206"/>
      <c r="C731" s="187"/>
      <c r="E731" s="207"/>
      <c r="G731" s="207"/>
    </row>
    <row r="732" ht="12.75" customHeight="1">
      <c r="B732" s="206"/>
      <c r="C732" s="187"/>
      <c r="E732" s="207"/>
      <c r="G732" s="207"/>
    </row>
    <row r="733" ht="12.75" customHeight="1">
      <c r="B733" s="206"/>
      <c r="C733" s="187"/>
      <c r="E733" s="207"/>
      <c r="G733" s="207"/>
    </row>
    <row r="734" ht="12.75" customHeight="1">
      <c r="B734" s="206"/>
      <c r="C734" s="187"/>
      <c r="E734" s="207"/>
      <c r="G734" s="207"/>
    </row>
    <row r="735" ht="12.75" customHeight="1">
      <c r="B735" s="206"/>
      <c r="C735" s="187"/>
      <c r="E735" s="207"/>
      <c r="G735" s="207"/>
    </row>
    <row r="736" ht="12.75" customHeight="1">
      <c r="B736" s="206"/>
      <c r="C736" s="187"/>
      <c r="E736" s="207"/>
      <c r="G736" s="207"/>
    </row>
    <row r="737" ht="12.75" customHeight="1">
      <c r="B737" s="206"/>
      <c r="C737" s="187"/>
      <c r="E737" s="207"/>
      <c r="G737" s="207"/>
    </row>
    <row r="738" ht="12.75" customHeight="1">
      <c r="B738" s="206"/>
      <c r="C738" s="187"/>
      <c r="E738" s="207"/>
      <c r="G738" s="207"/>
    </row>
    <row r="739" ht="12.75" customHeight="1">
      <c r="B739" s="206"/>
      <c r="C739" s="187"/>
      <c r="E739" s="207"/>
      <c r="G739" s="207"/>
    </row>
    <row r="740" ht="12.75" customHeight="1">
      <c r="B740" s="206"/>
      <c r="C740" s="187"/>
      <c r="E740" s="207"/>
      <c r="G740" s="207"/>
    </row>
    <row r="741" ht="12.75" customHeight="1">
      <c r="B741" s="206"/>
      <c r="C741" s="187"/>
      <c r="E741" s="207"/>
      <c r="G741" s="207"/>
    </row>
    <row r="742" ht="12.75" customHeight="1">
      <c r="B742" s="206"/>
      <c r="C742" s="187"/>
      <c r="E742" s="207"/>
      <c r="G742" s="207"/>
    </row>
    <row r="743" ht="12.75" customHeight="1">
      <c r="B743" s="206"/>
      <c r="C743" s="187"/>
      <c r="E743" s="207"/>
      <c r="G743" s="207"/>
    </row>
    <row r="744" ht="12.75" customHeight="1">
      <c r="B744" s="206"/>
      <c r="C744" s="187"/>
      <c r="E744" s="207"/>
      <c r="G744" s="207"/>
    </row>
    <row r="745" ht="12.75" customHeight="1">
      <c r="B745" s="206"/>
      <c r="C745" s="187"/>
      <c r="E745" s="207"/>
      <c r="G745" s="207"/>
    </row>
    <row r="746" ht="12.75" customHeight="1">
      <c r="B746" s="206"/>
      <c r="C746" s="187"/>
      <c r="E746" s="207"/>
      <c r="G746" s="207"/>
    </row>
    <row r="747" ht="12.75" customHeight="1">
      <c r="B747" s="206"/>
      <c r="C747" s="187"/>
      <c r="E747" s="207"/>
      <c r="G747" s="207"/>
    </row>
    <row r="748" ht="12.75" customHeight="1">
      <c r="B748" s="206"/>
      <c r="C748" s="187"/>
      <c r="E748" s="207"/>
      <c r="G748" s="207"/>
    </row>
    <row r="749" ht="12.75" customHeight="1">
      <c r="B749" s="206"/>
      <c r="C749" s="187"/>
      <c r="E749" s="207"/>
      <c r="G749" s="207"/>
    </row>
    <row r="750" ht="12.75" customHeight="1">
      <c r="B750" s="206"/>
      <c r="C750" s="187"/>
      <c r="E750" s="207"/>
      <c r="G750" s="207"/>
    </row>
    <row r="751" ht="12.75" customHeight="1">
      <c r="B751" s="206"/>
      <c r="C751" s="187"/>
      <c r="E751" s="207"/>
      <c r="G751" s="207"/>
    </row>
    <row r="752" ht="12.75" customHeight="1">
      <c r="B752" s="206"/>
      <c r="C752" s="187"/>
      <c r="E752" s="207"/>
      <c r="G752" s="207"/>
    </row>
    <row r="753" ht="12.75" customHeight="1">
      <c r="B753" s="206"/>
      <c r="C753" s="187"/>
      <c r="E753" s="207"/>
      <c r="G753" s="207"/>
    </row>
    <row r="754" ht="12.75" customHeight="1">
      <c r="B754" s="206"/>
      <c r="C754" s="187"/>
      <c r="E754" s="207"/>
      <c r="G754" s="207"/>
    </row>
    <row r="755" ht="12.75" customHeight="1">
      <c r="B755" s="206"/>
      <c r="C755" s="187"/>
      <c r="E755" s="207"/>
      <c r="G755" s="207"/>
    </row>
    <row r="756" ht="12.75" customHeight="1">
      <c r="B756" s="206"/>
      <c r="C756" s="187"/>
      <c r="E756" s="207"/>
      <c r="G756" s="207"/>
    </row>
    <row r="757" ht="12.75" customHeight="1">
      <c r="B757" s="206"/>
      <c r="C757" s="187"/>
      <c r="E757" s="207"/>
      <c r="G757" s="207"/>
    </row>
    <row r="758" ht="12.75" customHeight="1">
      <c r="B758" s="206"/>
      <c r="C758" s="187"/>
      <c r="E758" s="207"/>
      <c r="G758" s="207"/>
    </row>
    <row r="759" ht="12.75" customHeight="1">
      <c r="B759" s="206"/>
      <c r="C759" s="187"/>
      <c r="E759" s="207"/>
      <c r="G759" s="207"/>
    </row>
    <row r="760" ht="12.75" customHeight="1">
      <c r="B760" s="206"/>
      <c r="C760" s="187"/>
      <c r="E760" s="207"/>
      <c r="G760" s="207"/>
    </row>
    <row r="761" ht="12.75" customHeight="1">
      <c r="B761" s="206"/>
      <c r="C761" s="187"/>
      <c r="E761" s="207"/>
      <c r="G761" s="207"/>
    </row>
    <row r="762" ht="12.75" customHeight="1">
      <c r="B762" s="206"/>
      <c r="C762" s="187"/>
      <c r="E762" s="207"/>
      <c r="G762" s="207"/>
    </row>
    <row r="763" ht="12.75" customHeight="1">
      <c r="B763" s="206"/>
      <c r="C763" s="187"/>
      <c r="E763" s="207"/>
      <c r="G763" s="207"/>
    </row>
    <row r="764" ht="12.75" customHeight="1">
      <c r="B764" s="206"/>
      <c r="C764" s="187"/>
      <c r="E764" s="207"/>
      <c r="G764" s="207"/>
    </row>
    <row r="765" ht="12.75" customHeight="1">
      <c r="B765" s="206"/>
      <c r="C765" s="187"/>
      <c r="E765" s="207"/>
      <c r="G765" s="207"/>
    </row>
    <row r="766" ht="12.75" customHeight="1">
      <c r="B766" s="206"/>
      <c r="C766" s="187"/>
      <c r="E766" s="207"/>
      <c r="G766" s="207"/>
    </row>
    <row r="767" ht="12.75" customHeight="1">
      <c r="B767" s="206"/>
      <c r="C767" s="187"/>
      <c r="E767" s="207"/>
      <c r="G767" s="207"/>
    </row>
    <row r="768" ht="12.75" customHeight="1">
      <c r="B768" s="206"/>
      <c r="C768" s="187"/>
      <c r="E768" s="207"/>
      <c r="G768" s="207"/>
    </row>
    <row r="769" ht="12.75" customHeight="1">
      <c r="B769" s="206"/>
      <c r="C769" s="187"/>
      <c r="E769" s="207"/>
      <c r="G769" s="207"/>
    </row>
    <row r="770" ht="12.75" customHeight="1">
      <c r="B770" s="206"/>
      <c r="C770" s="187"/>
      <c r="E770" s="207"/>
      <c r="G770" s="207"/>
    </row>
    <row r="771" ht="12.75" customHeight="1">
      <c r="B771" s="206"/>
      <c r="C771" s="187"/>
      <c r="E771" s="207"/>
      <c r="G771" s="207"/>
    </row>
    <row r="772" ht="12.75" customHeight="1">
      <c r="B772" s="206"/>
      <c r="C772" s="187"/>
      <c r="E772" s="207"/>
      <c r="G772" s="207"/>
    </row>
    <row r="773" ht="12.75" customHeight="1">
      <c r="B773" s="206"/>
      <c r="C773" s="187"/>
      <c r="E773" s="207"/>
      <c r="G773" s="207"/>
    </row>
    <row r="774" ht="12.75" customHeight="1">
      <c r="B774" s="206"/>
      <c r="C774" s="187"/>
      <c r="E774" s="207"/>
      <c r="G774" s="207"/>
    </row>
    <row r="775" ht="12.75" customHeight="1">
      <c r="B775" s="206"/>
      <c r="C775" s="187"/>
      <c r="E775" s="207"/>
      <c r="G775" s="207"/>
    </row>
    <row r="776" ht="12.75" customHeight="1">
      <c r="B776" s="206"/>
      <c r="C776" s="187"/>
      <c r="E776" s="207"/>
      <c r="G776" s="207"/>
    </row>
    <row r="777" ht="12.75" customHeight="1">
      <c r="B777" s="206"/>
      <c r="C777" s="187"/>
      <c r="E777" s="207"/>
      <c r="G777" s="207"/>
    </row>
    <row r="778" ht="12.75" customHeight="1">
      <c r="B778" s="206"/>
      <c r="C778" s="187"/>
      <c r="E778" s="207"/>
      <c r="G778" s="207"/>
    </row>
    <row r="779" ht="12.75" customHeight="1">
      <c r="B779" s="206"/>
      <c r="C779" s="187"/>
      <c r="E779" s="207"/>
      <c r="G779" s="207"/>
    </row>
    <row r="780" ht="12.75" customHeight="1">
      <c r="B780" s="206"/>
      <c r="C780" s="187"/>
      <c r="E780" s="207"/>
      <c r="G780" s="207"/>
    </row>
    <row r="781" ht="12.75" customHeight="1">
      <c r="B781" s="206"/>
      <c r="C781" s="187"/>
      <c r="E781" s="207"/>
      <c r="G781" s="207"/>
    </row>
    <row r="782" ht="12.75" customHeight="1">
      <c r="B782" s="206"/>
      <c r="C782" s="187"/>
      <c r="E782" s="207"/>
      <c r="G782" s="207"/>
    </row>
    <row r="783" ht="12.75" customHeight="1">
      <c r="B783" s="206"/>
      <c r="C783" s="187"/>
      <c r="E783" s="207"/>
      <c r="G783" s="207"/>
    </row>
    <row r="784" ht="12.75" customHeight="1">
      <c r="B784" s="206"/>
      <c r="C784" s="187"/>
      <c r="E784" s="207"/>
      <c r="G784" s="207"/>
    </row>
    <row r="785" ht="12.75" customHeight="1">
      <c r="B785" s="206"/>
      <c r="C785" s="187"/>
      <c r="E785" s="207"/>
      <c r="G785" s="207"/>
    </row>
    <row r="786" ht="12.75" customHeight="1">
      <c r="B786" s="206"/>
      <c r="C786" s="187"/>
      <c r="E786" s="207"/>
      <c r="G786" s="207"/>
    </row>
    <row r="787" ht="12.75" customHeight="1">
      <c r="B787" s="206"/>
      <c r="C787" s="187"/>
      <c r="E787" s="207"/>
      <c r="G787" s="207"/>
    </row>
    <row r="788" ht="12.75" customHeight="1">
      <c r="B788" s="206"/>
      <c r="C788" s="187"/>
      <c r="E788" s="207"/>
      <c r="G788" s="207"/>
    </row>
    <row r="789" ht="12.75" customHeight="1">
      <c r="B789" s="206"/>
      <c r="C789" s="187"/>
      <c r="E789" s="207"/>
      <c r="G789" s="207"/>
    </row>
    <row r="790" ht="12.75" customHeight="1">
      <c r="B790" s="206"/>
      <c r="C790" s="187"/>
      <c r="E790" s="207"/>
      <c r="G790" s="207"/>
    </row>
    <row r="791" ht="12.75" customHeight="1">
      <c r="B791" s="206"/>
      <c r="C791" s="187"/>
      <c r="E791" s="207"/>
      <c r="G791" s="207"/>
    </row>
    <row r="792" ht="12.75" customHeight="1">
      <c r="B792" s="206"/>
      <c r="C792" s="187"/>
      <c r="E792" s="207"/>
      <c r="G792" s="207"/>
    </row>
    <row r="793" ht="12.75" customHeight="1">
      <c r="B793" s="206"/>
      <c r="C793" s="187"/>
      <c r="E793" s="207"/>
      <c r="G793" s="207"/>
    </row>
    <row r="794" ht="12.75" customHeight="1">
      <c r="B794" s="206"/>
      <c r="C794" s="187"/>
      <c r="E794" s="207"/>
      <c r="G794" s="207"/>
    </row>
    <row r="795" ht="12.75" customHeight="1">
      <c r="B795" s="206"/>
      <c r="C795" s="187"/>
      <c r="E795" s="207"/>
      <c r="G795" s="207"/>
    </row>
    <row r="796" ht="12.75" customHeight="1">
      <c r="B796" s="206"/>
      <c r="C796" s="187"/>
      <c r="E796" s="207"/>
      <c r="G796" s="207"/>
    </row>
    <row r="797" ht="12.75" customHeight="1">
      <c r="B797" s="206"/>
      <c r="C797" s="187"/>
      <c r="E797" s="207"/>
      <c r="G797" s="207"/>
    </row>
    <row r="798" ht="12.75" customHeight="1">
      <c r="B798" s="206"/>
      <c r="C798" s="187"/>
      <c r="E798" s="207"/>
      <c r="G798" s="207"/>
    </row>
    <row r="799" ht="12.75" customHeight="1">
      <c r="B799" s="206"/>
      <c r="C799" s="187"/>
      <c r="E799" s="207"/>
      <c r="G799" s="207"/>
    </row>
    <row r="800" ht="12.75" customHeight="1">
      <c r="B800" s="206"/>
      <c r="C800" s="187"/>
      <c r="E800" s="207"/>
      <c r="G800" s="207"/>
    </row>
    <row r="801" ht="12.75" customHeight="1">
      <c r="B801" s="206"/>
      <c r="C801" s="187"/>
      <c r="E801" s="207"/>
      <c r="G801" s="207"/>
    </row>
    <row r="802" ht="12.75" customHeight="1">
      <c r="B802" s="206"/>
      <c r="C802" s="187"/>
      <c r="E802" s="207"/>
      <c r="G802" s="207"/>
    </row>
    <row r="803" ht="12.75" customHeight="1">
      <c r="B803" s="206"/>
      <c r="C803" s="187"/>
      <c r="E803" s="207"/>
      <c r="G803" s="207"/>
    </row>
    <row r="804" ht="12.75" customHeight="1">
      <c r="B804" s="206"/>
      <c r="C804" s="187"/>
      <c r="E804" s="207"/>
      <c r="G804" s="207"/>
    </row>
    <row r="805" ht="12.75" customHeight="1">
      <c r="B805" s="206"/>
      <c r="C805" s="187"/>
      <c r="E805" s="207"/>
      <c r="G805" s="207"/>
    </row>
    <row r="806" ht="12.75" customHeight="1">
      <c r="B806" s="206"/>
      <c r="C806" s="187"/>
      <c r="E806" s="207"/>
      <c r="G806" s="207"/>
    </row>
    <row r="807" ht="12.75" customHeight="1">
      <c r="B807" s="206"/>
      <c r="C807" s="187"/>
      <c r="E807" s="207"/>
      <c r="G807" s="207"/>
    </row>
    <row r="808" ht="12.75" customHeight="1">
      <c r="B808" s="206"/>
      <c r="C808" s="187"/>
      <c r="E808" s="207"/>
      <c r="G808" s="207"/>
    </row>
    <row r="809" ht="12.75" customHeight="1">
      <c r="B809" s="206"/>
      <c r="C809" s="187"/>
      <c r="E809" s="207"/>
      <c r="G809" s="207"/>
    </row>
    <row r="810" ht="12.75" customHeight="1">
      <c r="B810" s="206"/>
      <c r="C810" s="187"/>
      <c r="E810" s="207"/>
      <c r="G810" s="207"/>
    </row>
    <row r="811" ht="12.75" customHeight="1">
      <c r="B811" s="206"/>
      <c r="C811" s="187"/>
      <c r="E811" s="207"/>
      <c r="G811" s="207"/>
    </row>
    <row r="812" ht="12.75" customHeight="1">
      <c r="B812" s="206"/>
      <c r="C812" s="187"/>
      <c r="E812" s="207"/>
      <c r="G812" s="207"/>
    </row>
    <row r="813" ht="12.75" customHeight="1">
      <c r="B813" s="206"/>
      <c r="C813" s="187"/>
      <c r="E813" s="207"/>
      <c r="G813" s="207"/>
    </row>
    <row r="814" ht="12.75" customHeight="1">
      <c r="B814" s="206"/>
      <c r="C814" s="187"/>
      <c r="E814" s="207"/>
      <c r="G814" s="207"/>
    </row>
    <row r="815" ht="12.75" customHeight="1">
      <c r="B815" s="206"/>
      <c r="C815" s="187"/>
      <c r="E815" s="207"/>
      <c r="G815" s="207"/>
    </row>
    <row r="816" ht="12.75" customHeight="1">
      <c r="B816" s="206"/>
      <c r="C816" s="187"/>
      <c r="E816" s="207"/>
      <c r="G816" s="207"/>
    </row>
    <row r="817" ht="12.75" customHeight="1">
      <c r="B817" s="206"/>
      <c r="C817" s="187"/>
      <c r="E817" s="207"/>
      <c r="G817" s="207"/>
    </row>
    <row r="818" ht="12.75" customHeight="1">
      <c r="B818" s="206"/>
      <c r="C818" s="187"/>
      <c r="E818" s="207"/>
      <c r="G818" s="207"/>
    </row>
    <row r="819" ht="12.75" customHeight="1">
      <c r="B819" s="206"/>
      <c r="C819" s="187"/>
      <c r="E819" s="207"/>
      <c r="G819" s="207"/>
    </row>
    <row r="820" ht="12.75" customHeight="1">
      <c r="B820" s="206"/>
      <c r="C820" s="187"/>
      <c r="E820" s="207"/>
      <c r="G820" s="207"/>
    </row>
    <row r="821" ht="12.75" customHeight="1">
      <c r="B821" s="206"/>
      <c r="C821" s="187"/>
      <c r="E821" s="207"/>
      <c r="G821" s="207"/>
    </row>
    <row r="822" ht="12.75" customHeight="1">
      <c r="B822" s="206"/>
      <c r="C822" s="187"/>
      <c r="E822" s="207"/>
      <c r="G822" s="207"/>
    </row>
    <row r="823" ht="12.75" customHeight="1">
      <c r="B823" s="206"/>
      <c r="C823" s="187"/>
      <c r="E823" s="207"/>
      <c r="G823" s="207"/>
    </row>
    <row r="824" ht="12.75" customHeight="1">
      <c r="B824" s="206"/>
      <c r="C824" s="187"/>
      <c r="E824" s="207"/>
      <c r="G824" s="207"/>
    </row>
    <row r="825" ht="12.75" customHeight="1">
      <c r="B825" s="206"/>
      <c r="C825" s="187"/>
      <c r="E825" s="207"/>
      <c r="G825" s="207"/>
    </row>
    <row r="826" ht="12.75" customHeight="1">
      <c r="B826" s="206"/>
      <c r="C826" s="187"/>
      <c r="E826" s="207"/>
      <c r="G826" s="207"/>
    </row>
    <row r="827" ht="12.75" customHeight="1">
      <c r="B827" s="206"/>
      <c r="C827" s="187"/>
      <c r="E827" s="207"/>
      <c r="G827" s="207"/>
    </row>
    <row r="828" ht="12.75" customHeight="1">
      <c r="B828" s="206"/>
      <c r="C828" s="187"/>
      <c r="E828" s="207"/>
      <c r="G828" s="207"/>
    </row>
    <row r="829" ht="12.75" customHeight="1">
      <c r="B829" s="206"/>
      <c r="C829" s="187"/>
      <c r="E829" s="207"/>
      <c r="G829" s="207"/>
    </row>
    <row r="830" ht="12.75" customHeight="1">
      <c r="B830" s="206"/>
      <c r="C830" s="187"/>
      <c r="E830" s="207"/>
      <c r="G830" s="207"/>
    </row>
    <row r="831" ht="12.75" customHeight="1">
      <c r="B831" s="206"/>
      <c r="C831" s="187"/>
      <c r="E831" s="207"/>
      <c r="G831" s="207"/>
    </row>
    <row r="832" ht="12.75" customHeight="1">
      <c r="B832" s="206"/>
      <c r="C832" s="187"/>
      <c r="E832" s="207"/>
      <c r="G832" s="207"/>
    </row>
    <row r="833" ht="12.75" customHeight="1">
      <c r="B833" s="206"/>
      <c r="C833" s="187"/>
      <c r="E833" s="207"/>
      <c r="G833" s="207"/>
    </row>
    <row r="834" ht="12.75" customHeight="1">
      <c r="B834" s="206"/>
      <c r="C834" s="187"/>
      <c r="E834" s="207"/>
      <c r="G834" s="207"/>
    </row>
    <row r="835" ht="12.75" customHeight="1">
      <c r="B835" s="206"/>
      <c r="C835" s="187"/>
      <c r="E835" s="207"/>
      <c r="G835" s="207"/>
    </row>
    <row r="836" ht="12.75" customHeight="1">
      <c r="B836" s="206"/>
      <c r="C836" s="187"/>
      <c r="E836" s="207"/>
      <c r="G836" s="207"/>
    </row>
    <row r="837" ht="12.75" customHeight="1">
      <c r="B837" s="206"/>
      <c r="C837" s="187"/>
      <c r="E837" s="207"/>
      <c r="G837" s="207"/>
    </row>
    <row r="838" ht="12.75" customHeight="1">
      <c r="B838" s="206"/>
      <c r="C838" s="187"/>
      <c r="E838" s="207"/>
      <c r="G838" s="207"/>
    </row>
    <row r="839" ht="12.75" customHeight="1">
      <c r="B839" s="206"/>
      <c r="C839" s="187"/>
      <c r="E839" s="207"/>
      <c r="G839" s="207"/>
    </row>
    <row r="840" ht="12.75" customHeight="1">
      <c r="B840" s="206"/>
      <c r="C840" s="187"/>
      <c r="E840" s="207"/>
      <c r="G840" s="207"/>
    </row>
    <row r="841" ht="12.75" customHeight="1">
      <c r="B841" s="206"/>
      <c r="C841" s="187"/>
      <c r="E841" s="207"/>
      <c r="G841" s="207"/>
    </row>
    <row r="842" ht="12.75" customHeight="1">
      <c r="B842" s="206"/>
      <c r="C842" s="187"/>
      <c r="E842" s="207"/>
      <c r="G842" s="207"/>
    </row>
    <row r="843" ht="12.75" customHeight="1">
      <c r="B843" s="206"/>
      <c r="C843" s="187"/>
      <c r="E843" s="207"/>
      <c r="G843" s="207"/>
    </row>
    <row r="844" ht="12.75" customHeight="1">
      <c r="B844" s="206"/>
      <c r="C844" s="187"/>
      <c r="E844" s="207"/>
      <c r="G844" s="207"/>
    </row>
    <row r="845" ht="12.75" customHeight="1">
      <c r="B845" s="206"/>
      <c r="C845" s="187"/>
      <c r="E845" s="207"/>
      <c r="G845" s="207"/>
    </row>
    <row r="846" ht="12.75" customHeight="1">
      <c r="B846" s="206"/>
      <c r="C846" s="187"/>
      <c r="E846" s="207"/>
      <c r="G846" s="207"/>
    </row>
    <row r="847" ht="12.75" customHeight="1">
      <c r="B847" s="206"/>
      <c r="C847" s="187"/>
      <c r="E847" s="207"/>
      <c r="G847" s="207"/>
    </row>
    <row r="848" ht="12.75" customHeight="1">
      <c r="B848" s="206"/>
      <c r="C848" s="187"/>
      <c r="E848" s="207"/>
      <c r="G848" s="207"/>
    </row>
    <row r="849" ht="12.75" customHeight="1">
      <c r="B849" s="206"/>
      <c r="C849" s="187"/>
      <c r="E849" s="207"/>
      <c r="G849" s="207"/>
    </row>
    <row r="850" ht="12.75" customHeight="1">
      <c r="B850" s="206"/>
      <c r="C850" s="187"/>
      <c r="E850" s="207"/>
      <c r="G850" s="207"/>
    </row>
    <row r="851" ht="12.75" customHeight="1">
      <c r="B851" s="206"/>
      <c r="C851" s="187"/>
      <c r="E851" s="207"/>
      <c r="G851" s="207"/>
    </row>
    <row r="852" ht="12.75" customHeight="1">
      <c r="B852" s="206"/>
      <c r="C852" s="187"/>
      <c r="E852" s="207"/>
      <c r="G852" s="207"/>
    </row>
    <row r="853" ht="12.75" customHeight="1">
      <c r="B853" s="206"/>
      <c r="C853" s="187"/>
      <c r="E853" s="207"/>
      <c r="G853" s="207"/>
    </row>
    <row r="854" ht="12.75" customHeight="1">
      <c r="B854" s="206"/>
      <c r="C854" s="187"/>
      <c r="E854" s="207"/>
      <c r="G854" s="207"/>
    </row>
    <row r="855" ht="12.75" customHeight="1">
      <c r="B855" s="206"/>
      <c r="C855" s="187"/>
      <c r="E855" s="207"/>
      <c r="G855" s="207"/>
    </row>
    <row r="856" ht="12.75" customHeight="1">
      <c r="B856" s="206"/>
      <c r="C856" s="187"/>
      <c r="E856" s="207"/>
      <c r="G856" s="207"/>
    </row>
    <row r="857" ht="12.75" customHeight="1">
      <c r="B857" s="206"/>
      <c r="C857" s="187"/>
      <c r="E857" s="207"/>
      <c r="G857" s="207"/>
    </row>
    <row r="858" ht="12.75" customHeight="1">
      <c r="B858" s="206"/>
      <c r="C858" s="187"/>
      <c r="E858" s="207"/>
      <c r="G858" s="207"/>
    </row>
    <row r="859" ht="12.75" customHeight="1">
      <c r="B859" s="206"/>
      <c r="C859" s="187"/>
      <c r="E859" s="207"/>
      <c r="G859" s="207"/>
    </row>
    <row r="860" ht="12.75" customHeight="1">
      <c r="B860" s="206"/>
      <c r="C860" s="187"/>
      <c r="E860" s="207"/>
      <c r="G860" s="207"/>
    </row>
    <row r="861" ht="12.75" customHeight="1">
      <c r="B861" s="206"/>
      <c r="C861" s="187"/>
      <c r="E861" s="207"/>
      <c r="G861" s="207"/>
    </row>
    <row r="862" ht="12.75" customHeight="1">
      <c r="B862" s="206"/>
      <c r="C862" s="187"/>
      <c r="E862" s="207"/>
      <c r="G862" s="207"/>
    </row>
    <row r="863" ht="12.75" customHeight="1">
      <c r="B863" s="206"/>
      <c r="C863" s="187"/>
      <c r="E863" s="207"/>
      <c r="G863" s="207"/>
    </row>
    <row r="864" ht="12.75" customHeight="1">
      <c r="B864" s="206"/>
      <c r="C864" s="187"/>
      <c r="E864" s="207"/>
      <c r="G864" s="207"/>
    </row>
    <row r="865" ht="12.75" customHeight="1">
      <c r="B865" s="206"/>
      <c r="C865" s="187"/>
      <c r="E865" s="207"/>
      <c r="G865" s="207"/>
    </row>
    <row r="866" ht="12.75" customHeight="1">
      <c r="B866" s="206"/>
      <c r="C866" s="187"/>
      <c r="E866" s="207"/>
      <c r="G866" s="207"/>
    </row>
    <row r="867" ht="12.75" customHeight="1">
      <c r="B867" s="206"/>
      <c r="C867" s="187"/>
      <c r="E867" s="207"/>
      <c r="G867" s="207"/>
    </row>
    <row r="868" ht="12.75" customHeight="1">
      <c r="B868" s="206"/>
      <c r="C868" s="187"/>
      <c r="E868" s="207"/>
      <c r="G868" s="207"/>
    </row>
    <row r="869" ht="12.75" customHeight="1">
      <c r="B869" s="206"/>
      <c r="C869" s="187"/>
      <c r="E869" s="207"/>
      <c r="G869" s="207"/>
    </row>
    <row r="870" ht="12.75" customHeight="1">
      <c r="B870" s="206"/>
      <c r="C870" s="187"/>
      <c r="E870" s="207"/>
      <c r="G870" s="207"/>
    </row>
    <row r="871" ht="12.75" customHeight="1">
      <c r="B871" s="206"/>
      <c r="C871" s="187"/>
      <c r="E871" s="207"/>
      <c r="G871" s="207"/>
    </row>
    <row r="872" ht="12.75" customHeight="1">
      <c r="B872" s="206"/>
      <c r="C872" s="187"/>
      <c r="E872" s="207"/>
      <c r="G872" s="207"/>
    </row>
    <row r="873" ht="12.75" customHeight="1">
      <c r="B873" s="206"/>
      <c r="C873" s="187"/>
      <c r="E873" s="207"/>
      <c r="G873" s="207"/>
    </row>
    <row r="874" ht="12.75" customHeight="1">
      <c r="B874" s="206"/>
      <c r="C874" s="187"/>
      <c r="E874" s="207"/>
      <c r="G874" s="207"/>
    </row>
    <row r="875" ht="12.75" customHeight="1">
      <c r="B875" s="206"/>
      <c r="C875" s="187"/>
      <c r="E875" s="207"/>
      <c r="G875" s="207"/>
    </row>
    <row r="876" ht="12.75" customHeight="1">
      <c r="B876" s="206"/>
      <c r="C876" s="187"/>
      <c r="E876" s="207"/>
      <c r="G876" s="207"/>
    </row>
    <row r="877" ht="12.75" customHeight="1">
      <c r="B877" s="206"/>
      <c r="C877" s="187"/>
      <c r="E877" s="207"/>
      <c r="G877" s="207"/>
    </row>
    <row r="878" ht="12.75" customHeight="1">
      <c r="B878" s="206"/>
      <c r="C878" s="187"/>
      <c r="E878" s="207"/>
      <c r="G878" s="207"/>
    </row>
    <row r="879" ht="12.75" customHeight="1">
      <c r="B879" s="206"/>
      <c r="C879" s="187"/>
      <c r="E879" s="207"/>
      <c r="G879" s="207"/>
    </row>
    <row r="880" ht="12.75" customHeight="1">
      <c r="B880" s="206"/>
      <c r="C880" s="187"/>
      <c r="E880" s="207"/>
      <c r="G880" s="207"/>
    </row>
    <row r="881" ht="12.75" customHeight="1">
      <c r="B881" s="206"/>
      <c r="C881" s="187"/>
      <c r="E881" s="207"/>
      <c r="G881" s="207"/>
    </row>
    <row r="882" ht="12.75" customHeight="1">
      <c r="B882" s="206"/>
      <c r="C882" s="187"/>
      <c r="E882" s="207"/>
      <c r="G882" s="207"/>
    </row>
    <row r="883" ht="12.75" customHeight="1">
      <c r="B883" s="206"/>
      <c r="C883" s="187"/>
      <c r="E883" s="207"/>
      <c r="G883" s="207"/>
    </row>
    <row r="884" ht="12.75" customHeight="1">
      <c r="B884" s="206"/>
      <c r="C884" s="187"/>
      <c r="E884" s="207"/>
      <c r="G884" s="207"/>
    </row>
    <row r="885" ht="12.75" customHeight="1">
      <c r="B885" s="206"/>
      <c r="C885" s="187"/>
      <c r="E885" s="207"/>
      <c r="G885" s="207"/>
    </row>
    <row r="886" ht="12.75" customHeight="1">
      <c r="B886" s="206"/>
      <c r="C886" s="187"/>
      <c r="E886" s="207"/>
      <c r="G886" s="207"/>
    </row>
    <row r="887" ht="12.75" customHeight="1">
      <c r="B887" s="206"/>
      <c r="C887" s="187"/>
      <c r="E887" s="207"/>
      <c r="G887" s="207"/>
    </row>
    <row r="888" ht="12.75" customHeight="1">
      <c r="B888" s="206"/>
      <c r="C888" s="187"/>
      <c r="E888" s="207"/>
      <c r="G888" s="207"/>
    </row>
    <row r="889" ht="12.75" customHeight="1">
      <c r="B889" s="206"/>
      <c r="C889" s="187"/>
      <c r="E889" s="207"/>
      <c r="G889" s="207"/>
    </row>
    <row r="890" ht="12.75" customHeight="1">
      <c r="B890" s="206"/>
      <c r="C890" s="187"/>
      <c r="E890" s="207"/>
      <c r="G890" s="207"/>
    </row>
    <row r="891" ht="12.75" customHeight="1">
      <c r="B891" s="206"/>
      <c r="C891" s="187"/>
      <c r="E891" s="207"/>
      <c r="G891" s="207"/>
    </row>
    <row r="892" ht="12.75" customHeight="1">
      <c r="B892" s="206"/>
      <c r="C892" s="187"/>
      <c r="E892" s="207"/>
      <c r="G892" s="207"/>
    </row>
    <row r="893" ht="12.75" customHeight="1">
      <c r="B893" s="206"/>
      <c r="C893" s="187"/>
      <c r="E893" s="207"/>
      <c r="G893" s="207"/>
    </row>
    <row r="894" ht="12.75" customHeight="1">
      <c r="B894" s="206"/>
      <c r="C894" s="187"/>
      <c r="E894" s="207"/>
      <c r="G894" s="207"/>
    </row>
    <row r="895" ht="12.75" customHeight="1">
      <c r="B895" s="206"/>
      <c r="C895" s="187"/>
      <c r="E895" s="207"/>
      <c r="G895" s="207"/>
    </row>
    <row r="896" ht="12.75" customHeight="1">
      <c r="B896" s="206"/>
      <c r="C896" s="187"/>
      <c r="E896" s="207"/>
      <c r="G896" s="207"/>
    </row>
    <row r="897" ht="12.75" customHeight="1">
      <c r="B897" s="206"/>
      <c r="C897" s="187"/>
      <c r="E897" s="207"/>
      <c r="G897" s="207"/>
    </row>
    <row r="898" ht="12.75" customHeight="1">
      <c r="B898" s="206"/>
      <c r="C898" s="187"/>
      <c r="E898" s="207"/>
      <c r="G898" s="207"/>
    </row>
    <row r="899" ht="12.75" customHeight="1">
      <c r="B899" s="206"/>
      <c r="C899" s="187"/>
      <c r="E899" s="207"/>
      <c r="G899" s="207"/>
    </row>
    <row r="900" ht="12.75" customHeight="1">
      <c r="B900" s="206"/>
      <c r="C900" s="187"/>
      <c r="E900" s="207"/>
      <c r="G900" s="207"/>
    </row>
    <row r="901" ht="12.75" customHeight="1">
      <c r="B901" s="206"/>
      <c r="C901" s="187"/>
      <c r="E901" s="207"/>
      <c r="G901" s="207"/>
    </row>
    <row r="902" ht="12.75" customHeight="1">
      <c r="B902" s="206"/>
      <c r="C902" s="187"/>
      <c r="E902" s="207"/>
      <c r="G902" s="207"/>
    </row>
    <row r="903" ht="12.75" customHeight="1">
      <c r="B903" s="206"/>
      <c r="C903" s="187"/>
      <c r="E903" s="207"/>
      <c r="G903" s="207"/>
    </row>
    <row r="904" ht="12.75" customHeight="1">
      <c r="B904" s="206"/>
      <c r="C904" s="187"/>
      <c r="E904" s="207"/>
      <c r="G904" s="207"/>
    </row>
    <row r="905" ht="12.75" customHeight="1">
      <c r="B905" s="206"/>
      <c r="C905" s="187"/>
      <c r="E905" s="207"/>
      <c r="G905" s="207"/>
    </row>
    <row r="906" ht="12.75" customHeight="1">
      <c r="B906" s="206"/>
      <c r="C906" s="187"/>
      <c r="E906" s="207"/>
      <c r="G906" s="207"/>
    </row>
    <row r="907" ht="12.75" customHeight="1">
      <c r="B907" s="206"/>
      <c r="C907" s="187"/>
      <c r="E907" s="207"/>
      <c r="G907" s="207"/>
    </row>
    <row r="908" ht="12.75" customHeight="1">
      <c r="B908" s="206"/>
      <c r="C908" s="187"/>
      <c r="E908" s="207"/>
      <c r="G908" s="207"/>
    </row>
    <row r="909" ht="12.75" customHeight="1">
      <c r="B909" s="206"/>
      <c r="C909" s="187"/>
      <c r="E909" s="207"/>
      <c r="G909" s="207"/>
    </row>
    <row r="910" ht="12.75" customHeight="1">
      <c r="B910" s="206"/>
      <c r="C910" s="187"/>
      <c r="E910" s="207"/>
      <c r="G910" s="207"/>
    </row>
    <row r="911" ht="12.75" customHeight="1">
      <c r="B911" s="206"/>
      <c r="C911" s="187"/>
      <c r="E911" s="207"/>
      <c r="G911" s="207"/>
    </row>
    <row r="912" ht="12.75" customHeight="1">
      <c r="B912" s="206"/>
      <c r="C912" s="187"/>
      <c r="E912" s="207"/>
      <c r="G912" s="207"/>
    </row>
    <row r="913" ht="12.75" customHeight="1">
      <c r="B913" s="206"/>
      <c r="C913" s="187"/>
      <c r="E913" s="207"/>
      <c r="G913" s="207"/>
    </row>
    <row r="914" ht="12.75" customHeight="1">
      <c r="B914" s="206"/>
      <c r="C914" s="187"/>
      <c r="E914" s="207"/>
      <c r="G914" s="207"/>
    </row>
    <row r="915" ht="12.75" customHeight="1">
      <c r="B915" s="206"/>
      <c r="C915" s="187"/>
      <c r="E915" s="207"/>
      <c r="G915" s="207"/>
    </row>
    <row r="916" ht="12.75" customHeight="1">
      <c r="B916" s="206"/>
      <c r="C916" s="187"/>
      <c r="E916" s="207"/>
      <c r="G916" s="207"/>
    </row>
    <row r="917" ht="12.75" customHeight="1">
      <c r="B917" s="206"/>
      <c r="C917" s="187"/>
      <c r="E917" s="207"/>
      <c r="G917" s="207"/>
    </row>
    <row r="918" ht="12.75" customHeight="1">
      <c r="B918" s="206"/>
      <c r="C918" s="187"/>
      <c r="E918" s="207"/>
      <c r="G918" s="207"/>
    </row>
    <row r="919" ht="12.75" customHeight="1">
      <c r="B919" s="206"/>
      <c r="C919" s="187"/>
      <c r="E919" s="207"/>
      <c r="G919" s="207"/>
    </row>
    <row r="920" ht="12.75" customHeight="1">
      <c r="B920" s="206"/>
      <c r="C920" s="187"/>
      <c r="E920" s="207"/>
      <c r="G920" s="207"/>
    </row>
    <row r="921" ht="12.75" customHeight="1">
      <c r="B921" s="206"/>
      <c r="C921" s="187"/>
      <c r="E921" s="207"/>
      <c r="G921" s="207"/>
    </row>
    <row r="922" ht="12.75" customHeight="1">
      <c r="B922" s="206"/>
      <c r="C922" s="187"/>
      <c r="E922" s="207"/>
      <c r="G922" s="207"/>
    </row>
    <row r="923" ht="12.75" customHeight="1">
      <c r="B923" s="206"/>
      <c r="C923" s="187"/>
      <c r="E923" s="207"/>
      <c r="G923" s="207"/>
    </row>
    <row r="924" ht="12.75" customHeight="1">
      <c r="B924" s="206"/>
      <c r="C924" s="187"/>
      <c r="E924" s="207"/>
      <c r="G924" s="207"/>
    </row>
    <row r="925" ht="12.75" customHeight="1">
      <c r="B925" s="206"/>
      <c r="C925" s="187"/>
      <c r="E925" s="207"/>
      <c r="G925" s="207"/>
    </row>
    <row r="926" ht="12.75" customHeight="1">
      <c r="B926" s="206"/>
      <c r="C926" s="187"/>
      <c r="E926" s="207"/>
      <c r="G926" s="207"/>
    </row>
    <row r="927" ht="12.75" customHeight="1">
      <c r="B927" s="206"/>
      <c r="C927" s="187"/>
      <c r="E927" s="207"/>
      <c r="G927" s="207"/>
    </row>
    <row r="928" ht="12.75" customHeight="1">
      <c r="B928" s="206"/>
      <c r="C928" s="187"/>
      <c r="E928" s="207"/>
      <c r="G928" s="207"/>
    </row>
    <row r="929" ht="12.75" customHeight="1">
      <c r="B929" s="206"/>
      <c r="C929" s="187"/>
      <c r="E929" s="207"/>
      <c r="G929" s="207"/>
    </row>
    <row r="930" ht="12.75" customHeight="1">
      <c r="B930" s="206"/>
      <c r="C930" s="187"/>
      <c r="E930" s="207"/>
      <c r="G930" s="207"/>
    </row>
    <row r="931" ht="12.75" customHeight="1">
      <c r="B931" s="206"/>
      <c r="C931" s="187"/>
      <c r="E931" s="207"/>
      <c r="G931" s="207"/>
    </row>
    <row r="932" ht="12.75" customHeight="1">
      <c r="B932" s="206"/>
      <c r="C932" s="187"/>
      <c r="E932" s="207"/>
      <c r="G932" s="207"/>
    </row>
    <row r="933" ht="12.75" customHeight="1">
      <c r="B933" s="206"/>
      <c r="C933" s="187"/>
      <c r="E933" s="207"/>
      <c r="G933" s="207"/>
    </row>
    <row r="934" ht="12.75" customHeight="1">
      <c r="B934" s="206"/>
      <c r="C934" s="187"/>
      <c r="E934" s="207"/>
      <c r="G934" s="207"/>
    </row>
    <row r="935" ht="12.75" customHeight="1">
      <c r="B935" s="206"/>
      <c r="C935" s="187"/>
      <c r="E935" s="207"/>
      <c r="G935" s="207"/>
    </row>
    <row r="936" ht="12.75" customHeight="1">
      <c r="B936" s="206"/>
      <c r="C936" s="187"/>
      <c r="E936" s="207"/>
      <c r="G936" s="207"/>
    </row>
    <row r="937" ht="12.75" customHeight="1">
      <c r="B937" s="206"/>
      <c r="C937" s="187"/>
      <c r="E937" s="207"/>
      <c r="G937" s="207"/>
    </row>
    <row r="938" ht="12.75" customHeight="1">
      <c r="B938" s="206"/>
      <c r="C938" s="187"/>
      <c r="E938" s="207"/>
      <c r="G938" s="207"/>
    </row>
    <row r="939" ht="12.75" customHeight="1">
      <c r="B939" s="206"/>
      <c r="C939" s="187"/>
      <c r="E939" s="207"/>
      <c r="G939" s="207"/>
    </row>
    <row r="940" ht="12.75" customHeight="1">
      <c r="B940" s="206"/>
      <c r="C940" s="187"/>
      <c r="E940" s="207"/>
      <c r="G940" s="207"/>
    </row>
    <row r="941" ht="12.75" customHeight="1">
      <c r="B941" s="206"/>
      <c r="C941" s="187"/>
      <c r="E941" s="207"/>
      <c r="G941" s="207"/>
    </row>
    <row r="942" ht="12.75" customHeight="1">
      <c r="B942" s="206"/>
      <c r="C942" s="187"/>
      <c r="E942" s="207"/>
      <c r="G942" s="207"/>
    </row>
    <row r="943" ht="12.75" customHeight="1">
      <c r="B943" s="206"/>
      <c r="C943" s="187"/>
      <c r="E943" s="207"/>
      <c r="G943" s="207"/>
    </row>
    <row r="944" ht="12.75" customHeight="1">
      <c r="B944" s="206"/>
      <c r="C944" s="187"/>
      <c r="E944" s="207"/>
      <c r="G944" s="207"/>
    </row>
    <row r="945" ht="12.75" customHeight="1">
      <c r="B945" s="206"/>
      <c r="C945" s="187"/>
      <c r="E945" s="207"/>
      <c r="G945" s="207"/>
    </row>
    <row r="946" ht="12.75" customHeight="1">
      <c r="B946" s="206"/>
      <c r="C946" s="187"/>
      <c r="E946" s="207"/>
      <c r="G946" s="207"/>
    </row>
    <row r="947" ht="12.75" customHeight="1">
      <c r="B947" s="206"/>
      <c r="C947" s="187"/>
      <c r="E947" s="207"/>
      <c r="G947" s="207"/>
    </row>
    <row r="948" ht="12.75" customHeight="1">
      <c r="B948" s="206"/>
      <c r="C948" s="187"/>
      <c r="E948" s="207"/>
      <c r="G948" s="207"/>
    </row>
    <row r="949" ht="12.75" customHeight="1">
      <c r="B949" s="206"/>
      <c r="C949" s="187"/>
      <c r="E949" s="207"/>
      <c r="G949" s="207"/>
    </row>
    <row r="950" ht="12.75" customHeight="1">
      <c r="B950" s="206"/>
      <c r="C950" s="187"/>
      <c r="E950" s="207"/>
      <c r="G950" s="207"/>
    </row>
    <row r="951" ht="12.75" customHeight="1">
      <c r="B951" s="206"/>
      <c r="C951" s="187"/>
      <c r="E951" s="207"/>
      <c r="G951" s="207"/>
    </row>
    <row r="952" ht="12.75" customHeight="1">
      <c r="B952" s="206"/>
      <c r="C952" s="187"/>
      <c r="E952" s="207"/>
      <c r="G952" s="207"/>
    </row>
    <row r="953" ht="12.75" customHeight="1">
      <c r="B953" s="206"/>
      <c r="C953" s="187"/>
      <c r="E953" s="207"/>
      <c r="G953" s="207"/>
    </row>
    <row r="954" ht="12.75" customHeight="1">
      <c r="B954" s="206"/>
      <c r="C954" s="187"/>
      <c r="E954" s="207"/>
      <c r="G954" s="207"/>
    </row>
    <row r="955" ht="12.75" customHeight="1">
      <c r="B955" s="206"/>
      <c r="C955" s="187"/>
      <c r="E955" s="207"/>
      <c r="G955" s="207"/>
    </row>
    <row r="956" ht="12.75" customHeight="1">
      <c r="B956" s="206"/>
      <c r="C956" s="187"/>
      <c r="E956" s="207"/>
      <c r="G956" s="207"/>
    </row>
    <row r="957" ht="12.75" customHeight="1">
      <c r="B957" s="206"/>
      <c r="C957" s="187"/>
      <c r="E957" s="207"/>
      <c r="G957" s="207"/>
    </row>
    <row r="958" ht="12.75" customHeight="1">
      <c r="B958" s="206"/>
      <c r="C958" s="187"/>
      <c r="E958" s="207"/>
      <c r="G958" s="207"/>
    </row>
    <row r="959" ht="12.75" customHeight="1">
      <c r="B959" s="206"/>
      <c r="C959" s="187"/>
      <c r="E959" s="207"/>
      <c r="G959" s="207"/>
    </row>
    <row r="960" ht="12.75" customHeight="1">
      <c r="B960" s="206"/>
      <c r="C960" s="187"/>
      <c r="E960" s="207"/>
      <c r="G960" s="207"/>
    </row>
    <row r="961" ht="12.75" customHeight="1">
      <c r="B961" s="206"/>
      <c r="C961" s="187"/>
      <c r="E961" s="207"/>
      <c r="G961" s="207"/>
    </row>
    <row r="962" ht="12.75" customHeight="1">
      <c r="B962" s="206"/>
      <c r="C962" s="187"/>
      <c r="E962" s="207"/>
      <c r="G962" s="207"/>
    </row>
    <row r="963" ht="12.75" customHeight="1">
      <c r="B963" s="206"/>
      <c r="C963" s="187"/>
      <c r="E963" s="207"/>
      <c r="G963" s="207"/>
    </row>
    <row r="964" ht="12.75" customHeight="1">
      <c r="B964" s="206"/>
      <c r="C964" s="187"/>
      <c r="E964" s="207"/>
      <c r="G964" s="207"/>
    </row>
    <row r="965" ht="12.75" customHeight="1">
      <c r="B965" s="206"/>
      <c r="C965" s="187"/>
      <c r="E965" s="207"/>
      <c r="G965" s="207"/>
    </row>
    <row r="966" ht="12.75" customHeight="1">
      <c r="B966" s="206"/>
      <c r="C966" s="187"/>
      <c r="E966" s="207"/>
      <c r="G966" s="207"/>
    </row>
    <row r="967" ht="12.75" customHeight="1">
      <c r="B967" s="206"/>
      <c r="C967" s="187"/>
      <c r="E967" s="207"/>
      <c r="G967" s="207"/>
    </row>
    <row r="968" ht="12.75" customHeight="1">
      <c r="B968" s="206"/>
      <c r="C968" s="187"/>
      <c r="E968" s="207"/>
      <c r="G968" s="207"/>
    </row>
    <row r="969" ht="12.75" customHeight="1">
      <c r="B969" s="206"/>
      <c r="C969" s="187"/>
      <c r="E969" s="207"/>
      <c r="G969" s="207"/>
    </row>
    <row r="970" ht="12.75" customHeight="1">
      <c r="B970" s="206"/>
      <c r="C970" s="187"/>
      <c r="E970" s="207"/>
      <c r="G970" s="207"/>
    </row>
    <row r="971" ht="12.75" customHeight="1">
      <c r="B971" s="206"/>
      <c r="C971" s="187"/>
      <c r="E971" s="207"/>
      <c r="G971" s="207"/>
    </row>
    <row r="972" ht="12.75" customHeight="1">
      <c r="B972" s="206"/>
      <c r="C972" s="187"/>
      <c r="E972" s="207"/>
      <c r="G972" s="207"/>
    </row>
    <row r="973" ht="12.75" customHeight="1">
      <c r="B973" s="206"/>
      <c r="C973" s="187"/>
      <c r="E973" s="207"/>
      <c r="G973" s="207"/>
    </row>
    <row r="974" ht="12.75" customHeight="1">
      <c r="B974" s="206"/>
      <c r="C974" s="187"/>
      <c r="E974" s="207"/>
      <c r="G974" s="207"/>
    </row>
    <row r="975" ht="12.75" customHeight="1">
      <c r="B975" s="206"/>
      <c r="C975" s="187"/>
      <c r="E975" s="207"/>
      <c r="G975" s="207"/>
    </row>
    <row r="976" ht="12.75" customHeight="1">
      <c r="B976" s="206"/>
      <c r="C976" s="187"/>
      <c r="E976" s="207"/>
      <c r="G976" s="207"/>
    </row>
    <row r="977" ht="12.75" customHeight="1">
      <c r="B977" s="206"/>
      <c r="C977" s="187"/>
      <c r="E977" s="207"/>
      <c r="G977" s="207"/>
    </row>
    <row r="978" ht="12.75" customHeight="1">
      <c r="B978" s="206"/>
      <c r="C978" s="187"/>
      <c r="E978" s="207"/>
      <c r="G978" s="207"/>
    </row>
    <row r="979" ht="12.75" customHeight="1">
      <c r="B979" s="206"/>
      <c r="C979" s="187"/>
      <c r="E979" s="207"/>
      <c r="G979" s="207"/>
    </row>
    <row r="980" ht="12.75" customHeight="1">
      <c r="B980" s="206"/>
      <c r="C980" s="187"/>
      <c r="E980" s="207"/>
      <c r="G980" s="207"/>
    </row>
    <row r="981" ht="12.75" customHeight="1">
      <c r="B981" s="206"/>
      <c r="C981" s="187"/>
      <c r="E981" s="207"/>
      <c r="G981" s="207"/>
    </row>
    <row r="982" ht="12.75" customHeight="1">
      <c r="B982" s="206"/>
      <c r="C982" s="187"/>
      <c r="E982" s="207"/>
      <c r="G982" s="207"/>
    </row>
    <row r="983" ht="12.75" customHeight="1">
      <c r="B983" s="206"/>
      <c r="C983" s="187"/>
      <c r="E983" s="207"/>
      <c r="G983" s="207"/>
    </row>
    <row r="984" ht="12.75" customHeight="1">
      <c r="B984" s="206"/>
      <c r="C984" s="187"/>
      <c r="E984" s="207"/>
      <c r="G984" s="207"/>
    </row>
    <row r="985" ht="12.75" customHeight="1">
      <c r="B985" s="206"/>
      <c r="C985" s="187"/>
      <c r="E985" s="207"/>
      <c r="G985" s="207"/>
    </row>
    <row r="986" ht="12.75" customHeight="1">
      <c r="B986" s="206"/>
      <c r="C986" s="187"/>
      <c r="E986" s="207"/>
      <c r="G986" s="207"/>
    </row>
    <row r="987" ht="12.75" customHeight="1">
      <c r="B987" s="206"/>
      <c r="C987" s="187"/>
      <c r="E987" s="207"/>
      <c r="G987" s="207"/>
    </row>
    <row r="988" ht="12.75" customHeight="1">
      <c r="B988" s="206"/>
      <c r="C988" s="187"/>
      <c r="E988" s="207"/>
      <c r="G988" s="207"/>
    </row>
    <row r="989" ht="12.75" customHeight="1">
      <c r="B989" s="206"/>
      <c r="C989" s="187"/>
      <c r="E989" s="207"/>
      <c r="G989" s="207"/>
    </row>
    <row r="990" ht="12.75" customHeight="1">
      <c r="B990" s="206"/>
      <c r="C990" s="187"/>
      <c r="E990" s="207"/>
      <c r="G990" s="207"/>
    </row>
    <row r="991" ht="12.75" customHeight="1">
      <c r="B991" s="206"/>
      <c r="C991" s="187"/>
      <c r="E991" s="207"/>
      <c r="G991" s="207"/>
    </row>
    <row r="992" ht="12.75" customHeight="1">
      <c r="B992" s="206"/>
      <c r="C992" s="187"/>
      <c r="E992" s="207"/>
      <c r="G992" s="207"/>
    </row>
    <row r="993" ht="12.75" customHeight="1">
      <c r="B993" s="206"/>
      <c r="C993" s="187"/>
      <c r="E993" s="207"/>
      <c r="G993" s="207"/>
    </row>
    <row r="994" ht="12.75" customHeight="1">
      <c r="B994" s="206"/>
      <c r="C994" s="187"/>
      <c r="E994" s="207"/>
      <c r="G994" s="207"/>
    </row>
    <row r="995" ht="12.75" customHeight="1">
      <c r="B995" s="206"/>
      <c r="C995" s="187"/>
      <c r="E995" s="207"/>
      <c r="G995" s="207"/>
    </row>
    <row r="996" ht="12.75" customHeight="1">
      <c r="B996" s="206"/>
      <c r="C996" s="187"/>
      <c r="E996" s="207"/>
      <c r="G996" s="207"/>
    </row>
    <row r="997" ht="12.75" customHeight="1">
      <c r="B997" s="206"/>
      <c r="C997" s="187"/>
      <c r="E997" s="207"/>
      <c r="G997" s="207"/>
    </row>
    <row r="998" ht="12.75" customHeight="1">
      <c r="B998" s="206"/>
      <c r="C998" s="187"/>
      <c r="E998" s="207"/>
      <c r="G998" s="207"/>
    </row>
    <row r="999" ht="12.75" customHeight="1">
      <c r="B999" s="206"/>
      <c r="C999" s="187"/>
      <c r="E999" s="207"/>
      <c r="G999" s="207"/>
    </row>
    <row r="1000" ht="12.75" customHeight="1">
      <c r="B1000" s="206"/>
      <c r="C1000" s="187"/>
      <c r="E1000" s="207"/>
      <c r="G1000" s="207"/>
    </row>
  </sheetData>
  <mergeCells count="51">
    <mergeCell ref="A1:K1"/>
    <mergeCell ref="A2:B2"/>
    <mergeCell ref="A3:A7"/>
    <mergeCell ref="B3:B7"/>
    <mergeCell ref="C3:C4"/>
    <mergeCell ref="A8:A12"/>
    <mergeCell ref="B8:B12"/>
    <mergeCell ref="C10:C11"/>
    <mergeCell ref="C5:C6"/>
    <mergeCell ref="C8:C9"/>
    <mergeCell ref="A13:A17"/>
    <mergeCell ref="B13:B17"/>
    <mergeCell ref="C13:C14"/>
    <mergeCell ref="B18:B22"/>
    <mergeCell ref="C20:C21"/>
    <mergeCell ref="A18:A22"/>
    <mergeCell ref="A23:A27"/>
    <mergeCell ref="B23:B27"/>
    <mergeCell ref="A28:A32"/>
    <mergeCell ref="B28:B32"/>
    <mergeCell ref="A33:A37"/>
    <mergeCell ref="B33:B37"/>
    <mergeCell ref="C35:C36"/>
    <mergeCell ref="C38:C39"/>
    <mergeCell ref="C40:C41"/>
    <mergeCell ref="C43:C44"/>
    <mergeCell ref="C45:C46"/>
    <mergeCell ref="C48:C49"/>
    <mergeCell ref="C50:C51"/>
    <mergeCell ref="C15:C16"/>
    <mergeCell ref="C18:C19"/>
    <mergeCell ref="C23:C24"/>
    <mergeCell ref="C25:C26"/>
    <mergeCell ref="C28:C29"/>
    <mergeCell ref="C30:C31"/>
    <mergeCell ref="C33:C34"/>
    <mergeCell ref="A53:A55"/>
    <mergeCell ref="A56:A58"/>
    <mergeCell ref="A59:A60"/>
    <mergeCell ref="A61:A62"/>
    <mergeCell ref="B56:B58"/>
    <mergeCell ref="B59:B60"/>
    <mergeCell ref="B61:B62"/>
    <mergeCell ref="C61:C62"/>
    <mergeCell ref="A38:A42"/>
    <mergeCell ref="B38:B42"/>
    <mergeCell ref="A43:A47"/>
    <mergeCell ref="B43:B47"/>
    <mergeCell ref="A48:A52"/>
    <mergeCell ref="B48:B52"/>
    <mergeCell ref="B53:B55"/>
  </mergeCells>
  <dataValidations>
    <dataValidation type="list" allowBlank="1" showErrorMessage="1" sqref="I3:I60 I61:J63">
      <formula1>"Online,Offline,Virtual,Hybrid"</formula1>
    </dataValidation>
    <dataValidation type="list" allowBlank="1" showErrorMessage="1" sqref="F3:F63">
      <formula1>"Concept/Lecture,Assignment/Lab,Test/Quiz,Exam,Guides/Review,Seminar/Workshop,Class Meeting,Self-learning"</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86"/>
    <col customWidth="1" min="2" max="2" width="14.43"/>
    <col customWidth="1" min="3" max="3" width="23.14"/>
    <col customWidth="1" min="4" max="4" width="15.86"/>
    <col customWidth="1" min="5" max="5" width="14.86"/>
    <col customWidth="1" min="6" max="6" width="26.0"/>
    <col customWidth="1" min="7" max="7" width="11.43"/>
    <col customWidth="1" min="8" max="26" width="9.14"/>
  </cols>
  <sheetData>
    <row r="1" ht="20.25" customHeight="1">
      <c r="A1" s="56" t="s">
        <v>34</v>
      </c>
      <c r="B1" s="3"/>
      <c r="C1" s="3"/>
      <c r="D1" s="3"/>
      <c r="E1" s="3"/>
      <c r="F1" s="3"/>
      <c r="G1" s="4"/>
      <c r="H1" s="60"/>
      <c r="I1" s="60"/>
      <c r="J1" s="60"/>
      <c r="K1" s="60"/>
      <c r="L1" s="60"/>
      <c r="M1" s="60"/>
      <c r="N1" s="60"/>
      <c r="O1" s="60"/>
      <c r="P1" s="60"/>
      <c r="Q1" s="60"/>
      <c r="R1" s="60"/>
      <c r="S1" s="60"/>
      <c r="T1" s="60"/>
      <c r="U1" s="60"/>
      <c r="V1" s="60"/>
      <c r="W1" s="60"/>
      <c r="X1" s="60"/>
      <c r="Y1" s="60"/>
      <c r="Z1" s="60"/>
    </row>
    <row r="2" ht="12.75" customHeight="1">
      <c r="A2" s="63"/>
      <c r="B2" s="64" t="s">
        <v>44</v>
      </c>
      <c r="C2" s="64" t="s">
        <v>45</v>
      </c>
      <c r="D2" s="64" t="s">
        <v>46</v>
      </c>
      <c r="E2" s="64" t="s">
        <v>47</v>
      </c>
      <c r="F2" s="64" t="s">
        <v>48</v>
      </c>
      <c r="G2" s="63"/>
      <c r="H2" s="63"/>
      <c r="I2" s="63"/>
      <c r="J2" s="63"/>
      <c r="K2" s="63"/>
      <c r="L2" s="63"/>
      <c r="M2" s="63"/>
      <c r="N2" s="63"/>
      <c r="O2" s="63"/>
      <c r="P2" s="63"/>
      <c r="Q2" s="63"/>
      <c r="R2" s="63"/>
      <c r="S2" s="63"/>
      <c r="T2" s="63"/>
      <c r="U2" s="63"/>
      <c r="V2" s="63"/>
      <c r="W2" s="63"/>
      <c r="X2" s="63"/>
      <c r="Y2" s="63"/>
      <c r="Z2" s="63"/>
    </row>
    <row r="3" ht="12.75" customHeight="1">
      <c r="A3" s="63"/>
      <c r="B3" s="71" t="s">
        <v>58</v>
      </c>
      <c r="C3" s="74" t="s">
        <v>61</v>
      </c>
      <c r="D3" s="74" t="s">
        <v>64</v>
      </c>
      <c r="E3" s="74" t="s">
        <v>65</v>
      </c>
      <c r="F3" s="74" t="s">
        <v>66</v>
      </c>
      <c r="G3" s="63"/>
      <c r="H3" s="63"/>
      <c r="I3" s="63"/>
      <c r="J3" s="63"/>
      <c r="K3" s="63"/>
      <c r="L3" s="63"/>
      <c r="M3" s="63"/>
      <c r="N3" s="63"/>
      <c r="O3" s="63"/>
      <c r="P3" s="63"/>
      <c r="Q3" s="63"/>
      <c r="R3" s="63"/>
      <c r="S3" s="63"/>
      <c r="T3" s="63"/>
      <c r="U3" s="63"/>
      <c r="V3" s="63"/>
      <c r="W3" s="63"/>
      <c r="X3" s="63"/>
      <c r="Y3" s="63"/>
      <c r="Z3" s="63"/>
    </row>
    <row r="4" ht="12.75" customHeight="1">
      <c r="A4" s="63"/>
      <c r="B4" s="76" t="s">
        <v>68</v>
      </c>
      <c r="C4" s="74"/>
      <c r="D4" s="74"/>
      <c r="E4" s="74"/>
      <c r="F4" s="74"/>
      <c r="G4" s="63"/>
      <c r="H4" s="63"/>
      <c r="I4" s="63"/>
      <c r="J4" s="63"/>
      <c r="K4" s="63"/>
      <c r="L4" s="63"/>
      <c r="M4" s="63"/>
      <c r="N4" s="63"/>
      <c r="O4" s="63"/>
      <c r="P4" s="63"/>
      <c r="Q4" s="63"/>
      <c r="R4" s="63"/>
      <c r="S4" s="63"/>
      <c r="T4" s="63"/>
      <c r="U4" s="63"/>
      <c r="V4" s="63"/>
      <c r="W4" s="63"/>
      <c r="X4" s="63"/>
      <c r="Y4" s="63"/>
      <c r="Z4" s="63"/>
    </row>
    <row r="5" ht="12.75" customHeight="1">
      <c r="A5" s="63"/>
      <c r="B5" s="76" t="s">
        <v>70</v>
      </c>
      <c r="C5" s="74"/>
      <c r="D5" s="74"/>
      <c r="E5" s="74"/>
      <c r="F5" s="74"/>
      <c r="G5" s="63"/>
      <c r="H5" s="63"/>
      <c r="I5" s="63"/>
      <c r="J5" s="63"/>
      <c r="K5" s="63"/>
      <c r="L5" s="63"/>
      <c r="M5" s="63"/>
      <c r="N5" s="63"/>
      <c r="O5" s="63"/>
      <c r="P5" s="63"/>
      <c r="Q5" s="63"/>
      <c r="R5" s="63"/>
      <c r="S5" s="63"/>
      <c r="T5" s="63"/>
      <c r="U5" s="63"/>
      <c r="V5" s="63"/>
      <c r="W5" s="63"/>
      <c r="X5" s="63"/>
      <c r="Y5" s="63"/>
      <c r="Z5" s="63"/>
    </row>
    <row r="6" ht="20.25" customHeight="1">
      <c r="A6" s="56" t="s">
        <v>73</v>
      </c>
      <c r="B6" s="3"/>
      <c r="C6" s="3"/>
      <c r="D6" s="3"/>
      <c r="E6" s="3"/>
      <c r="F6" s="3"/>
      <c r="G6" s="4"/>
      <c r="H6" s="60"/>
      <c r="I6" s="60"/>
      <c r="J6" s="60"/>
      <c r="K6" s="60"/>
      <c r="L6" s="60"/>
      <c r="M6" s="60"/>
      <c r="N6" s="60"/>
      <c r="O6" s="60"/>
      <c r="P6" s="60"/>
      <c r="Q6" s="60"/>
      <c r="R6" s="60"/>
      <c r="S6" s="60"/>
      <c r="T6" s="60"/>
      <c r="U6" s="60"/>
      <c r="V6" s="60"/>
      <c r="W6" s="60"/>
      <c r="X6" s="60"/>
      <c r="Y6" s="60"/>
      <c r="Z6" s="60"/>
    </row>
    <row r="7" ht="12.75" customHeight="1">
      <c r="A7" s="63" t="s">
        <v>76</v>
      </c>
      <c r="B7" s="63"/>
      <c r="C7" s="63"/>
      <c r="D7" s="63"/>
      <c r="E7" s="63"/>
      <c r="F7" s="63"/>
      <c r="G7" s="63"/>
      <c r="H7" s="63"/>
      <c r="I7" s="63"/>
      <c r="J7" s="63"/>
      <c r="K7" s="63"/>
      <c r="L7" s="63"/>
      <c r="M7" s="63"/>
      <c r="N7" s="63"/>
      <c r="O7" s="63"/>
      <c r="P7" s="63"/>
      <c r="Q7" s="63"/>
      <c r="R7" s="63"/>
      <c r="S7" s="63"/>
      <c r="T7" s="63"/>
      <c r="U7" s="63"/>
      <c r="V7" s="63"/>
      <c r="W7" s="63"/>
      <c r="X7" s="63"/>
      <c r="Y7" s="63"/>
      <c r="Z7" s="63"/>
    </row>
    <row r="8" ht="12.75" customHeight="1">
      <c r="A8" s="63"/>
      <c r="B8" s="63"/>
      <c r="C8" s="63"/>
      <c r="D8" s="63"/>
      <c r="E8" s="63"/>
      <c r="F8" s="63"/>
      <c r="G8" s="63"/>
      <c r="H8" s="63"/>
      <c r="I8" s="63"/>
      <c r="J8" s="63"/>
      <c r="K8" s="63"/>
      <c r="L8" s="63"/>
      <c r="M8" s="63"/>
      <c r="N8" s="63"/>
      <c r="O8" s="63"/>
      <c r="P8" s="63"/>
      <c r="Q8" s="63"/>
      <c r="R8" s="63"/>
      <c r="S8" s="63"/>
      <c r="T8" s="63"/>
      <c r="U8" s="63"/>
      <c r="V8" s="63"/>
      <c r="W8" s="63"/>
      <c r="X8" s="63"/>
      <c r="Y8" s="63"/>
      <c r="Z8" s="63"/>
    </row>
    <row r="9" ht="25.5" customHeight="1">
      <c r="A9" s="63"/>
      <c r="B9" s="64" t="s">
        <v>17</v>
      </c>
      <c r="C9" s="64" t="s">
        <v>81</v>
      </c>
      <c r="D9" s="64"/>
      <c r="E9" s="64" t="s">
        <v>82</v>
      </c>
      <c r="F9" s="64" t="s">
        <v>83</v>
      </c>
      <c r="G9" s="64" t="s">
        <v>14</v>
      </c>
      <c r="H9" s="63"/>
      <c r="I9" s="63"/>
      <c r="J9" s="63"/>
      <c r="K9" s="63"/>
      <c r="L9" s="63"/>
      <c r="M9" s="63"/>
      <c r="N9" s="63"/>
      <c r="O9" s="63"/>
      <c r="P9" s="63"/>
      <c r="Q9" s="63"/>
      <c r="R9" s="63"/>
      <c r="S9" s="63"/>
      <c r="T9" s="63"/>
      <c r="U9" s="63"/>
      <c r="V9" s="63"/>
      <c r="W9" s="63"/>
      <c r="X9" s="63"/>
      <c r="Y9" s="63"/>
      <c r="Z9" s="63"/>
    </row>
    <row r="10" ht="12.75" customHeight="1">
      <c r="A10" s="63"/>
      <c r="B10" s="91">
        <v>46234.0</v>
      </c>
      <c r="C10" s="93" t="s">
        <v>89</v>
      </c>
      <c r="D10" s="93"/>
      <c r="E10" s="93" t="s">
        <v>90</v>
      </c>
      <c r="F10" s="93" t="s">
        <v>91</v>
      </c>
      <c r="G10" s="94">
        <v>3.0</v>
      </c>
      <c r="H10" s="63"/>
      <c r="I10" s="63"/>
      <c r="J10" s="63"/>
      <c r="K10" s="63"/>
      <c r="L10" s="63"/>
      <c r="M10" s="63"/>
      <c r="N10" s="63"/>
      <c r="O10" s="63"/>
      <c r="P10" s="63"/>
      <c r="Q10" s="63"/>
      <c r="R10" s="63"/>
      <c r="S10" s="63"/>
      <c r="T10" s="63"/>
      <c r="U10" s="63"/>
      <c r="V10" s="63"/>
      <c r="W10" s="63"/>
      <c r="X10" s="63"/>
      <c r="Y10" s="63"/>
      <c r="Z10" s="63"/>
    </row>
    <row r="11" ht="12.75" customHeight="1">
      <c r="A11" s="63"/>
      <c r="B11" s="93"/>
      <c r="C11" s="93"/>
      <c r="D11" s="93"/>
      <c r="E11" s="93"/>
      <c r="F11" s="93"/>
      <c r="G11" s="93"/>
      <c r="H11" s="63"/>
      <c r="I11" s="63"/>
      <c r="J11" s="63"/>
      <c r="K11" s="63"/>
      <c r="L11" s="63"/>
      <c r="M11" s="63"/>
      <c r="N11" s="63"/>
      <c r="O11" s="63"/>
      <c r="P11" s="63"/>
      <c r="Q11" s="63"/>
      <c r="R11" s="63"/>
      <c r="S11" s="63"/>
      <c r="T11" s="63"/>
      <c r="U11" s="63"/>
      <c r="V11" s="63"/>
      <c r="W11" s="63"/>
      <c r="X11" s="63"/>
      <c r="Y11" s="63"/>
      <c r="Z11" s="63"/>
    </row>
    <row r="12" ht="12.75" customHeight="1">
      <c r="A12" s="63"/>
      <c r="B12" s="93"/>
      <c r="C12" s="93"/>
      <c r="D12" s="93"/>
      <c r="E12" s="93"/>
      <c r="F12" s="93"/>
      <c r="G12" s="93"/>
      <c r="H12" s="63"/>
      <c r="I12" s="63"/>
      <c r="J12" s="63"/>
      <c r="K12" s="63"/>
      <c r="L12" s="63"/>
      <c r="M12" s="63"/>
      <c r="N12" s="63"/>
      <c r="O12" s="63"/>
      <c r="P12" s="63"/>
      <c r="Q12" s="63"/>
      <c r="R12" s="63"/>
      <c r="S12" s="63"/>
      <c r="T12" s="63"/>
      <c r="U12" s="63"/>
      <c r="V12" s="63"/>
      <c r="W12" s="63"/>
      <c r="X12" s="63"/>
      <c r="Y12" s="63"/>
      <c r="Z12" s="63"/>
    </row>
    <row r="13" ht="12.75" customHeight="1">
      <c r="A13" s="63"/>
      <c r="B13" s="93"/>
      <c r="C13" s="93"/>
      <c r="D13" s="93"/>
      <c r="E13" s="93"/>
      <c r="F13" s="93"/>
      <c r="G13" s="93"/>
      <c r="H13" s="63"/>
      <c r="I13" s="63"/>
      <c r="J13" s="63"/>
      <c r="K13" s="63"/>
      <c r="L13" s="63"/>
      <c r="M13" s="63"/>
      <c r="N13" s="63"/>
      <c r="O13" s="63"/>
      <c r="P13" s="63"/>
      <c r="Q13" s="63"/>
      <c r="R13" s="63"/>
      <c r="S13" s="63"/>
      <c r="T13" s="63"/>
      <c r="U13" s="63"/>
      <c r="V13" s="63"/>
      <c r="W13" s="63"/>
      <c r="X13" s="63"/>
      <c r="Y13" s="63"/>
      <c r="Z13" s="63"/>
    </row>
    <row r="14" ht="12.75" customHeight="1">
      <c r="A14" s="63"/>
      <c r="B14" s="93"/>
      <c r="C14" s="93"/>
      <c r="D14" s="93"/>
      <c r="E14" s="93"/>
      <c r="F14" s="93"/>
      <c r="G14" s="93"/>
      <c r="H14" s="63"/>
      <c r="I14" s="63"/>
      <c r="J14" s="63"/>
      <c r="K14" s="63"/>
      <c r="L14" s="63"/>
      <c r="M14" s="63"/>
      <c r="N14" s="63"/>
      <c r="O14" s="63"/>
      <c r="P14" s="63"/>
      <c r="Q14" s="63"/>
      <c r="R14" s="63"/>
      <c r="S14" s="63"/>
      <c r="T14" s="63"/>
      <c r="U14" s="63"/>
      <c r="V14" s="63"/>
      <c r="W14" s="63"/>
      <c r="X14" s="63"/>
      <c r="Y14" s="63"/>
      <c r="Z14" s="63"/>
    </row>
    <row r="15" ht="12.75" customHeight="1">
      <c r="A15" s="63"/>
      <c r="B15" s="93"/>
      <c r="C15" s="93"/>
      <c r="D15" s="93"/>
      <c r="E15" s="93"/>
      <c r="F15" s="93"/>
      <c r="G15" s="93"/>
      <c r="H15" s="63"/>
      <c r="I15" s="63"/>
      <c r="J15" s="63"/>
      <c r="K15" s="63"/>
      <c r="L15" s="63"/>
      <c r="M15" s="63"/>
      <c r="N15" s="63"/>
      <c r="O15" s="63"/>
      <c r="P15" s="63"/>
      <c r="Q15" s="63"/>
      <c r="R15" s="63"/>
      <c r="S15" s="63"/>
      <c r="T15" s="63"/>
      <c r="U15" s="63"/>
      <c r="V15" s="63"/>
      <c r="W15" s="63"/>
      <c r="X15" s="63"/>
      <c r="Y15" s="63"/>
      <c r="Z15" s="63"/>
    </row>
    <row r="16" ht="12.75" customHeight="1">
      <c r="A16" s="63"/>
      <c r="B16" s="93"/>
      <c r="C16" s="93"/>
      <c r="D16" s="93"/>
      <c r="E16" s="93"/>
      <c r="F16" s="93"/>
      <c r="G16" s="93"/>
      <c r="H16" s="63"/>
      <c r="I16" s="63"/>
      <c r="J16" s="63"/>
      <c r="K16" s="63"/>
      <c r="L16" s="63"/>
      <c r="M16" s="63"/>
      <c r="N16" s="63"/>
      <c r="O16" s="63"/>
      <c r="P16" s="63"/>
      <c r="Q16" s="63"/>
      <c r="R16" s="63"/>
      <c r="S16" s="63"/>
      <c r="T16" s="63"/>
      <c r="U16" s="63"/>
      <c r="V16" s="63"/>
      <c r="W16" s="63"/>
      <c r="X16" s="63"/>
      <c r="Y16" s="63"/>
      <c r="Z16" s="63"/>
    </row>
    <row r="17" ht="12.75" customHeight="1">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ht="12.75" customHeight="1">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ht="12.75" customHeight="1">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ht="12.75" customHeight="1">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ht="12.75" customHeight="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ht="12.75" customHeight="1">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ht="12.75" customHeight="1">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ht="12.75" customHeight="1">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ht="12.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2.75" customHeight="1">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ht="12.75" customHeight="1">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ht="12.75" customHeight="1">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ht="12.75" customHeight="1">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ht="12.75" customHeight="1">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ht="12.75" customHeight="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ht="12.75"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ht="12.75" customHeight="1">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ht="12.75" customHeight="1">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ht="12.75"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12.75"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12.75" customHeight="1">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ht="12.75" customHeight="1">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ht="12.75"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ht="12.75"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ht="12.75"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12.75"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12.7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12.75" customHeight="1">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12.75" customHeight="1">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ht="12.75"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12.75"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ht="12.7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ht="12.7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ht="12.7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ht="12.7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ht="12.7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ht="12.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ht="12.7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ht="12.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ht="12.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2.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2.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2.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2.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2.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2.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2.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2.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2.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2.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2.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2.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2.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2.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2.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12.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12.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12.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2.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2.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2.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2.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2.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2.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2.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2.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2.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2.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2.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2.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2.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2.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2.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2.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2.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2.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2.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2.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2.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2.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2.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2.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2.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2.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2.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2.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2.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2.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2.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2.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2.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2.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2.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2.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2.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2.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2.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2.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2.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2.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2.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2.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2.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2.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2.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2.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2.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2.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2.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2.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2.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2.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2.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2.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2.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2.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2.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2.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2.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2.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2.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2.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2.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2.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2.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2.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2.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2.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2.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2.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2.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2.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2.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2.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2.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2.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2.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2.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2.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2.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2.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2.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2.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2.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2.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2.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2.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2.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2.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2.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2.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2.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2.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2.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2.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2.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2.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2.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2.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2.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2.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2.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2.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2.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2.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2.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2.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2.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2.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2.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2.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2.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2.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2.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2.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2.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2.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2.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2.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2.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2.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2.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2.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2.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2.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2.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2.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2.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2.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2.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2.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2.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2.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2.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2.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2.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2.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2.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2.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2.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2.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2.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2.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2.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2.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2.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2.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2.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2.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2.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2.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2.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2.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2.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2.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2.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2.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2.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2.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2.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2.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2.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2.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2.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2.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2.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2.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2.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2.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2.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2.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2.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2.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2.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2.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2.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2.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2.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2.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2.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2.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2.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2.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2.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2.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2.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2.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2.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2.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2.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2.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2.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2.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2.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2.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2.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2.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2.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2.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2.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2.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2.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2.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2.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2.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2.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2.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2.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2.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2.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2.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2.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2.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2.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2.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2.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2.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2.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2.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2.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2.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2.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2.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2.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2.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2.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2.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2.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2.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2.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2.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2.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2.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2.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2.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2.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2.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2.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2.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2.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2.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2.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2.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2.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2.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2.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2.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2.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2.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2.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2.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2.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2.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2.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2.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2.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2.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2.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2.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2.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2.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2.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2.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2.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2.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2.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2.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2.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2.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2.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2.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2.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2.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2.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2.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2.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2.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2.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2.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2.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2.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2.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2.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2.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2.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2.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2.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2.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2.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2.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2.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2.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2.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2.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2.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2.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2.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2.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2.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2.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2.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2.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2.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2.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2.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2.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2.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2.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2.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2.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2.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2.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2.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2.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2.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2.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2.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2.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2.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2.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2.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2.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2.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2.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2.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2.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2.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2.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2.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2.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2.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2.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2.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2.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2.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2.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2.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2.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2.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2.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2.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2.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2.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2.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2.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2.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2.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2.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2.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2.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2.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2.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2.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2.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2.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2.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2.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2.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2.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2.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2.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2.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2.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2.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2.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2.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2.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2.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2.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2.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2.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2.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2.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2.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2.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2.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2.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2.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2.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2.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2.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2.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2.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2.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2.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2.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2.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2.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2.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2.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2.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2.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2.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2.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2.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2.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2.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2.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2.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2.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2.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2.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2.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2.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2.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2.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2.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2.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2.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2.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2.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2.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2.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2.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2.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2.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2.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2.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2.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2.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2.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2.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2.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2.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2.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2.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2.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2.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2.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2.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2.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2.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2.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2.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2.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2.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2.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2.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2.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2.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2.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2.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2.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2.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2.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2.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2.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2.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2.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2.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2.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2.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2.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2.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2.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2.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2.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2.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2.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2.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2.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2.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2.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2.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2.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2.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2.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2.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2.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2.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2.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2.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2.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2.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2.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2.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2.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2.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2.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2.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2.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2.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2.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2.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2.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2.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2.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2.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2.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2.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2.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2.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2.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2.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2.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2.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2.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2.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2.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2.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2.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2.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2.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2.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2.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2.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2.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2.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2.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2.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2.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2.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2.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2.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2.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2.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2.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2.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2.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2.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2.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2.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2.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2.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2.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2.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2.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2.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2.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2.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2.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2.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2.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2.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2.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2.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2.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2.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2.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2.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2.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2.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2.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2.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2.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2.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2.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2.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2.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2.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2.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2.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2.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2.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2.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2.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2.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2.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2.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2.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2.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2.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2.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2.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2.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2.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2.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2.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2.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2.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2.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2.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2.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2.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2.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2.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2.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2.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2.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2.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2.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2.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2.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2.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2.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2.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2.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2.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2.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2.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2.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2.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2.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2.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2.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2.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2.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2.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2.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2.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2.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2.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2.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2.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2.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2.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2.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2.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2.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2.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2.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2.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2.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2.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2.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2.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2.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2.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2.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2.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2.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2.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2.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2.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2.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2.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2.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2.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2.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2.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2.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2.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2.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2.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2.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2.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2.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2.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2.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2.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2.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2.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2.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2.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2.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2.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2.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2.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2.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2.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2.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2.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2.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2.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2.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2.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2.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2.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2.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2.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2.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2.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2.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2.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2.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2.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2.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2.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2.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2.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2.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2.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2.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2.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2.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2.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2.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2.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2.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2.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2.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2.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2.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2.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2.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2.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2.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2.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2.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2.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2.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2.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2.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2.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2.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2.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2.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2.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2.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2.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2.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2.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2.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2.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2.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2.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2.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2.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2.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2.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2.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2.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2.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2.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2.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2.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2.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2.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2.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2.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2.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2.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2.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2.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2.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2.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2.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2.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2.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2.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2.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2.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2.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2.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2.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2.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2.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2.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2.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2.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2.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2.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2.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2.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2.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2.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2.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2.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2.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2.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2.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2.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2.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2.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2.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2.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2.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2.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2.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2.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2.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2.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2.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2.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2.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2.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2.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2.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2.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2.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2.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2.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2.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2.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2.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2.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2.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2.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2.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2.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2.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2.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2.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2.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2.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2.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2.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2.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2.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2.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2.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2.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2.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2.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2.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2.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2.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2.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2.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2.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2.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2.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2.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2.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2.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2.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2.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2.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2.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2.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2.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2.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2.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2.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2.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2.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2.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2.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2.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2.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2.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2.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2.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2.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2.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2.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2.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2.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2.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2.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2.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2.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2.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2.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2.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2.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2.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2.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2.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2.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2.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2.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2.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2.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2.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2.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2.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2.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2.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2.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2.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2.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2.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2.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2.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2.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2.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2.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2.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2.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2.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2.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2.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2.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2.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2.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2.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2.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2.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2.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2.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2.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2.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2.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2.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2.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2.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2.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2.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2.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2.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2.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2.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2.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2.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2.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2.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2.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2.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2.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2.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2.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2.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2.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2.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2.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2.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2.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2.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2.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2.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2.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2.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2.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2.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2.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2.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2.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2.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2.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2.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2.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2.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2.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2.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2.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2.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2.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2.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2.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2.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2.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2.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2.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mergeCells count="2">
    <mergeCell ref="A1:G1"/>
    <mergeCell ref="A6:G6"/>
  </mergeCells>
  <printOptions/>
  <pageMargins bottom="0.75" footer="0.0" header="0.0" left="0.2" right="0.2" top="0.75"/>
  <pageSetup fitToHeight="0" orientation="portrait"/>
  <headerFooter>
    <oddHeader>&amp;L&amp;F</oddHeader>
    <oddFooter>&amp;L26e-BM/HR/HDCV/FSOFT&amp;CInternal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6" width="8.71"/>
  </cols>
  <sheetData>
    <row r="1" ht="12.75" customHeight="1">
      <c r="A1" s="215" t="str">
        <f>IF(JavaSpring_Syllabus!1:1,"AAAAAH7b/wA=",0)</f>
        <v>#VALUE!</v>
      </c>
      <c r="B1" s="215" t="str">
        <f>AND(JavaSpring_Syllabus!#REF!,"AAAAAH7b/wE=")</f>
        <v>#ERROR!</v>
      </c>
      <c r="C1" s="215" t="str">
        <f>AND(JavaSpring_Syllabus!B1,"AAAAAH7b/wI=")</f>
        <v>#VALUE!</v>
      </c>
      <c r="D1" s="215" t="str">
        <f>AND(JavaSpring_Syllabus!C1,"AAAAAH7b/wM=")</f>
        <v>#VALUE!</v>
      </c>
      <c r="E1" s="215" t="str">
        <f>AND(JavaSpring_Syllabus!D1,"AAAAAH7b/wQ=")</f>
        <v>#VALUE!</v>
      </c>
      <c r="F1" s="215" t="str">
        <f>AND(JavaSpring_Syllabus!E1,"AAAAAH7b/wU=")</f>
        <v>#VALUE!</v>
      </c>
      <c r="G1" s="215" t="str">
        <f>AND(JavaSpring_Syllabus!#REF!,"AAAAAH7b/wY=")</f>
        <v>#ERROR!</v>
      </c>
      <c r="H1" s="215" t="str">
        <f>AND(JavaSpring_Syllabus!#REF!,"AAAAAH7b/wc=")</f>
        <v>#ERROR!</v>
      </c>
      <c r="I1" s="215">
        <f>IF(JavaSpring_Syllabus!2:2,"AAAAAH7b/wg=",0)</f>
        <v>0</v>
      </c>
      <c r="J1" s="215" t="str">
        <f>AND(JavaSpring_Syllabus!A2,"AAAAAH7b/wk=")</f>
        <v>#VALUE!</v>
      </c>
      <c r="K1" s="215" t="str">
        <f>AND(JavaSpring_Syllabus!B2,"AAAAAH7b/wo=")</f>
        <v>#VALUE!</v>
      </c>
      <c r="L1" s="215" t="str">
        <f>AND(JavaSpring_Syllabus!C2,"AAAAAH7b/ws=")</f>
        <v>#VALUE!</v>
      </c>
      <c r="M1" s="215" t="str">
        <f>AND(JavaSpring_Syllabus!D2,"AAAAAH7b/ww=")</f>
        <v>#VALUE!</v>
      </c>
      <c r="N1" s="215" t="str">
        <f>AND(JavaSpring_Syllabus!E2,"AAAAAH7b/w0=")</f>
        <v>#VALUE!</v>
      </c>
      <c r="O1" s="215" t="str">
        <f>AND(JavaSpring_Syllabus!#REF!,"AAAAAH7b/w4=")</f>
        <v>#ERROR!</v>
      </c>
      <c r="P1" s="215" t="str">
        <f>AND(JavaSpring_Syllabus!#REF!,"AAAAAH7b/w8=")</f>
        <v>#ERROR!</v>
      </c>
      <c r="Q1" s="215">
        <f>IF(JavaSpring_Syllabus!5:5,"AAAAAH7b/xA=",0)</f>
        <v>0</v>
      </c>
      <c r="R1" s="215" t="str">
        <f>AND(JavaSpring_Syllabus!A5,"AAAAAH7b/xE=")</f>
        <v>#VALUE!</v>
      </c>
      <c r="S1" s="215" t="str">
        <f>AND(JavaSpring_Syllabus!B5,"AAAAAH7b/xI=")</f>
        <v>#VALUE!</v>
      </c>
      <c r="T1" s="215" t="str">
        <f>AND(JavaSpring_Syllabus!C5,"AAAAAH7b/xM=")</f>
        <v>#VALUE!</v>
      </c>
      <c r="U1" s="215" t="str">
        <f>AND(JavaSpring_Syllabus!D5,"AAAAAH7b/xQ=")</f>
        <v>#VALUE!</v>
      </c>
      <c r="V1" s="215" t="str">
        <f>AND(JavaSpring_Syllabus!E5,"AAAAAH7b/xU=")</f>
        <v>#VALUE!</v>
      </c>
      <c r="W1" s="215" t="str">
        <f>AND(JavaSpring_Syllabus!#REF!,"AAAAAH7b/xY=")</f>
        <v>#ERROR!</v>
      </c>
      <c r="X1" s="215" t="str">
        <f>AND(JavaSpring_Syllabus!#REF!,"AAAAAH7b/xc=")</f>
        <v>#ERROR!</v>
      </c>
      <c r="Y1" s="215">
        <f>IF(JavaSpring_Syllabus!6:6,"AAAAAH7b/xg=",0)</f>
        <v>0</v>
      </c>
      <c r="Z1" s="215" t="str">
        <f>AND(JavaSpring_Syllabus!A6,"AAAAAH7b/xk=")</f>
        <v>#VALUE!</v>
      </c>
      <c r="AA1" s="215" t="str">
        <f>AND(JavaSpring_Syllabus!B6,"AAAAAH7b/xo=")</f>
        <v>#VALUE!</v>
      </c>
      <c r="AB1" s="215" t="str">
        <f>AND(JavaSpring_Syllabus!C6,"AAAAAH7b/xs=")</f>
        <v>#VALUE!</v>
      </c>
      <c r="AC1" s="215" t="str">
        <f>AND(JavaSpring_Syllabus!D6,"AAAAAH7b/xw=")</f>
        <v>#VALUE!</v>
      </c>
      <c r="AD1" s="215" t="str">
        <f>AND(JavaSpring_Syllabus!E6,"AAAAAH7b/x0=")</f>
        <v>#VALUE!</v>
      </c>
      <c r="AE1" s="215" t="str">
        <f>AND(JavaSpring_Syllabus!#REF!,"AAAAAH7b/x4=")</f>
        <v>#ERROR!</v>
      </c>
      <c r="AF1" s="215" t="str">
        <f>AND(JavaSpring_Syllabus!#REF!,"AAAAAH7b/x8=")</f>
        <v>#ERROR!</v>
      </c>
      <c r="AG1" s="215" t="str">
        <f>IF(JavaSpring_Syllabus!7:7,"AAAAAH7b/yA=",0)</f>
        <v>#VALUE!</v>
      </c>
      <c r="AH1" s="215" t="str">
        <f>AND(JavaSpring_Syllabus!A7,"AAAAAH7b/yE=")</f>
        <v>#VALUE!</v>
      </c>
      <c r="AI1" s="215" t="str">
        <f>AND(JavaSpring_Syllabus!B7,"AAAAAH7b/yI=")</f>
        <v>#VALUE!</v>
      </c>
      <c r="AJ1" s="215" t="str">
        <f>AND(JavaSpring_Syllabus!C7,"AAAAAH7b/yM=")</f>
        <v>#VALUE!</v>
      </c>
      <c r="AK1" s="215" t="str">
        <f>AND(JavaSpring_Syllabus!D7,"AAAAAH7b/yQ=")</f>
        <v>#VALUE!</v>
      </c>
      <c r="AL1" s="215" t="str">
        <f>AND(JavaSpring_Syllabus!E7,"AAAAAH7b/yU=")</f>
        <v>#VALUE!</v>
      </c>
      <c r="AM1" s="215" t="str">
        <f>AND(JavaSpring_Syllabus!#REF!,"AAAAAH7b/yY=")</f>
        <v>#ERROR!</v>
      </c>
      <c r="AN1" s="215" t="str">
        <f>AND(JavaSpring_Syllabus!#REF!,"AAAAAH7b/yc=")</f>
        <v>#ERROR!</v>
      </c>
      <c r="AO1" s="215" t="str">
        <f>IF(JavaSpring_Syllabus!8:8,"AAAAAH7b/yg=",0)</f>
        <v>#VALUE!</v>
      </c>
      <c r="AP1" s="215" t="str">
        <f>AND(JavaSpring_Syllabus!A8,"AAAAAH7b/yk=")</f>
        <v>#VALUE!</v>
      </c>
      <c r="AQ1" s="215" t="str">
        <f>AND(JavaSpring_Syllabus!B8,"AAAAAH7b/yo=")</f>
        <v>#VALUE!</v>
      </c>
      <c r="AR1" s="215" t="str">
        <f>AND(JavaSpring_Syllabus!C8,"AAAAAH7b/ys=")</f>
        <v>#VALUE!</v>
      </c>
      <c r="AS1" s="215" t="str">
        <f>AND(JavaSpring_Syllabus!D8,"AAAAAH7b/yw=")</f>
        <v>#VALUE!</v>
      </c>
      <c r="AT1" s="215" t="str">
        <f>AND(JavaSpring_Syllabus!E8,"AAAAAH7b/y0=")</f>
        <v>#VALUE!</v>
      </c>
      <c r="AU1" s="215" t="str">
        <f>AND(JavaSpring_Syllabus!#REF!,"AAAAAH7b/y4=")</f>
        <v>#ERROR!</v>
      </c>
      <c r="AV1" s="215" t="str">
        <f>AND(JavaSpring_Syllabus!#REF!,"AAAAAH7b/y8=")</f>
        <v>#ERROR!</v>
      </c>
      <c r="AW1" s="215" t="str">
        <f>IF(JavaSpring_Syllabus!11:11,"AAAAAH7b/zA=",0)</f>
        <v>#VALUE!</v>
      </c>
      <c r="AX1" s="215" t="str">
        <f>AND(JavaSpring_Syllabus!A11,"AAAAAH7b/zE=")</f>
        <v>#VALUE!</v>
      </c>
      <c r="AY1" s="215" t="str">
        <f>AND(JavaSpring_Syllabus!B11,"AAAAAH7b/zI=")</f>
        <v>#VALUE!</v>
      </c>
      <c r="AZ1" s="215" t="str">
        <f>AND(JavaSpring_Syllabus!C11,"AAAAAH7b/zM=")</f>
        <v>#VALUE!</v>
      </c>
      <c r="BA1" s="215" t="str">
        <f>AND(JavaSpring_Syllabus!D11,"AAAAAH7b/zQ=")</f>
        <v>#VALUE!</v>
      </c>
      <c r="BB1" s="215" t="str">
        <f>AND(JavaSpring_Syllabus!E11,"AAAAAH7b/zU=")</f>
        <v>#VALUE!</v>
      </c>
      <c r="BC1" s="215" t="str">
        <f>AND(JavaSpring_Syllabus!#REF!,"AAAAAH7b/zY=")</f>
        <v>#ERROR!</v>
      </c>
      <c r="BD1" s="215" t="str">
        <f>AND(JavaSpring_Syllabus!#REF!,"AAAAAH7b/zc=")</f>
        <v>#ERROR!</v>
      </c>
      <c r="BE1" s="215" t="str">
        <f>IF(JavaSpring_Syllabus!13:13,"AAAAAH7b/zg=",0)</f>
        <v>#VALUE!</v>
      </c>
      <c r="BF1" s="215" t="str">
        <f>AND(JavaSpring_Syllabus!A13,"AAAAAH7b/zk=")</f>
        <v>#VALUE!</v>
      </c>
      <c r="BG1" s="215" t="str">
        <f>AND(JavaSpring_Syllabus!B13,"AAAAAH7b/zo=")</f>
        <v>#VALUE!</v>
      </c>
      <c r="BH1" s="215" t="str">
        <f>AND(JavaSpring_Syllabus!C13,"AAAAAH7b/zs=")</f>
        <v>#VALUE!</v>
      </c>
      <c r="BI1" s="215" t="str">
        <f>AND(JavaSpring_Syllabus!D13,"AAAAAH7b/zw=")</f>
        <v>#VALUE!</v>
      </c>
      <c r="BJ1" s="215" t="str">
        <f>AND(JavaSpring_Syllabus!E13,"AAAAAH7b/z0=")</f>
        <v>#VALUE!</v>
      </c>
      <c r="BK1" s="215" t="str">
        <f>AND(JavaSpring_Syllabus!#REF!,"AAAAAH7b/z4=")</f>
        <v>#ERROR!</v>
      </c>
      <c r="BL1" s="215" t="str">
        <f>AND(JavaSpring_Syllabus!#REF!,"AAAAAH7b/z8=")</f>
        <v>#ERROR!</v>
      </c>
      <c r="BM1" s="215" t="str">
        <f>IF(JavaSpring_Syllabus!14:14,"AAAAAH7b/0A=",0)</f>
        <v>#VALUE!</v>
      </c>
      <c r="BN1" s="215" t="str">
        <f>AND(JavaSpring_Syllabus!A14,"AAAAAH7b/0E=")</f>
        <v>#VALUE!</v>
      </c>
      <c r="BO1" s="215" t="str">
        <f>AND(JavaSpring_Syllabus!B14,"AAAAAH7b/0I=")</f>
        <v>#VALUE!</v>
      </c>
      <c r="BP1" s="215" t="str">
        <f>AND(JavaSpring_Syllabus!C14,"AAAAAH7b/0M=")</f>
        <v>#VALUE!</v>
      </c>
      <c r="BQ1" s="215" t="str">
        <f>AND(JavaSpring_Syllabus!D14,"AAAAAH7b/0Q=")</f>
        <v>#VALUE!</v>
      </c>
      <c r="BR1" s="215" t="str">
        <f>AND(JavaSpring_Syllabus!E14,"AAAAAH7b/0U=")</f>
        <v>#VALUE!</v>
      </c>
      <c r="BS1" s="215" t="str">
        <f>AND(JavaSpring_Syllabus!#REF!,"AAAAAH7b/0Y=")</f>
        <v>#ERROR!</v>
      </c>
      <c r="BT1" s="215" t="str">
        <f>AND(JavaSpring_Syllabus!#REF!,"AAAAAH7b/0c=")</f>
        <v>#ERROR!</v>
      </c>
      <c r="BU1" s="215" t="str">
        <f>IF(_xlfn.SINGLE(JavaSpring_Syllabus!#REF!),"AAAAAH7b/0g=",0)</f>
        <v>#ERROR!</v>
      </c>
      <c r="BV1" s="215" t="str">
        <f>AND(JavaSpring_Syllabus!#REF!,"AAAAAH7b/0k=")</f>
        <v>#ERROR!</v>
      </c>
      <c r="BW1" s="215" t="str">
        <f>AND(JavaSpring_Syllabus!#REF!,"AAAAAH7b/0o=")</f>
        <v>#ERROR!</v>
      </c>
      <c r="BX1" s="215" t="str">
        <f>AND(JavaSpring_Syllabus!#REF!,"AAAAAH7b/0s=")</f>
        <v>#ERROR!</v>
      </c>
      <c r="BY1" s="215" t="str">
        <f>AND(JavaSpring_Syllabus!#REF!,"AAAAAH7b/0w=")</f>
        <v>#ERROR!</v>
      </c>
      <c r="BZ1" s="215" t="str">
        <f>AND(JavaSpring_Syllabus!#REF!,"AAAAAH7b/00=")</f>
        <v>#ERROR!</v>
      </c>
      <c r="CA1" s="215" t="str">
        <f>AND(JavaSpring_Syllabus!#REF!,"AAAAAH7b/04=")</f>
        <v>#ERROR!</v>
      </c>
      <c r="CB1" s="215" t="str">
        <f>AND(JavaSpring_Syllabus!#REF!,"AAAAAH7b/08=")</f>
        <v>#ERROR!</v>
      </c>
      <c r="CC1" s="215" t="str">
        <f>IF(JavaSpring_Syllabus!20:20,"AAAAAH7b/1A=",0)</f>
        <v>#VALUE!</v>
      </c>
      <c r="CD1" s="215" t="str">
        <f>AND(JavaSpring_Syllabus!A20,"AAAAAH7b/1E=")</f>
        <v>#VALUE!</v>
      </c>
      <c r="CE1" s="215" t="str">
        <f>AND(JavaSpring_Syllabus!B20,"AAAAAH7b/1I=")</f>
        <v>#VALUE!</v>
      </c>
      <c r="CF1" s="215" t="str">
        <f>AND(JavaSpring_Syllabus!#REF!,"AAAAAH7b/1M=")</f>
        <v>#ERROR!</v>
      </c>
      <c r="CG1" s="215" t="str">
        <f>AND(JavaSpring_Syllabus!#REF!,"AAAAAH7b/1Q=")</f>
        <v>#ERROR!</v>
      </c>
      <c r="CH1" s="215" t="str">
        <f>AND(JavaSpring_Syllabus!E20,"AAAAAH7b/1U=")</f>
        <v>#VALUE!</v>
      </c>
      <c r="CI1" s="215" t="str">
        <f>AND(JavaSpring_Syllabus!#REF!,"AAAAAH7b/1Y=")</f>
        <v>#ERROR!</v>
      </c>
      <c r="CJ1" s="215" t="str">
        <f>AND(JavaSpring_Syllabus!#REF!,"AAAAAH7b/1c=")</f>
        <v>#ERROR!</v>
      </c>
      <c r="CK1" s="215" t="str">
        <f>IF(JavaSpring_Syllabus!35:35,"AAAAAH7b/1g=",0)</f>
        <v>#VALUE!</v>
      </c>
      <c r="CL1" s="215" t="str">
        <f>AND(JavaSpring_Syllabus!A34,"AAAAAH7b/1k=")</f>
        <v>#VALUE!</v>
      </c>
      <c r="CM1" s="215" t="str">
        <f>AND(JavaSpring_Syllabus!B34,"AAAAAH7b/1o=")</f>
        <v>#VALUE!</v>
      </c>
      <c r="CN1" s="215" t="str">
        <f>AND(JavaSpring_Syllabus!C35,"AAAAAH7b/1s=")</f>
        <v>#VALUE!</v>
      </c>
      <c r="CO1" s="215" t="str">
        <f>AND(JavaSpring_Syllabus!D35,"AAAAAH7b/1w=")</f>
        <v>#VALUE!</v>
      </c>
      <c r="CP1" s="215" t="str">
        <f>AND(JavaSpring_Syllabus!E35,"AAAAAH7b/10=")</f>
        <v>#VALUE!</v>
      </c>
      <c r="CQ1" s="215" t="str">
        <f>AND(JavaSpring_Syllabus!#REF!,"AAAAAH7b/14=")</f>
        <v>#ERROR!</v>
      </c>
      <c r="CR1" s="215" t="str">
        <f>AND(JavaSpring_Syllabus!#REF!,"AAAAAH7b/18=")</f>
        <v>#ERROR!</v>
      </c>
      <c r="CS1" s="215" t="str">
        <f>IF(JavaSpring_Syllabus!42:42,"AAAAAH7b/2A=",0)</f>
        <v>#VALUE!</v>
      </c>
      <c r="CT1" s="215" t="str">
        <f>AND(JavaSpring_Syllabus!A42,"AAAAAH7b/2E=")</f>
        <v>#VALUE!</v>
      </c>
      <c r="CU1" s="215" t="str">
        <f>AND(JavaSpring_Syllabus!B42,"AAAAAH7b/2I=")</f>
        <v>#VALUE!</v>
      </c>
      <c r="CV1" s="215" t="str">
        <f>AND(JavaSpring_Syllabus!C42,"AAAAAH7b/2M=")</f>
        <v>#VALUE!</v>
      </c>
      <c r="CW1" s="215" t="b">
        <f>AND(JavaSpring_Syllabus!D42,"AAAAAH7b/2Q=")</f>
        <v>0</v>
      </c>
      <c r="CX1" s="215" t="str">
        <f>AND(JavaSpring_Syllabus!E42,"AAAAAH7b/2U=")</f>
        <v>#VALUE!</v>
      </c>
      <c r="CY1" s="215" t="str">
        <f>AND(JavaSpring_Syllabus!F42,"AAAAAH7b/2Y=")</f>
        <v>#VALUE!</v>
      </c>
      <c r="CZ1" s="215" t="str">
        <f>AND(JavaSpring_Syllabus!#REF!,"AAAAAH7b/2c=")</f>
        <v>#ERROR!</v>
      </c>
      <c r="DA1" s="215" t="str">
        <f>IF(JavaSpring_Syllabus!46:46,"AAAAAH7b/2g=",0)</f>
        <v>#VALUE!</v>
      </c>
      <c r="DB1" s="215" t="str">
        <f>AND(JavaSpring_Syllabus!A46,"AAAAAH7b/2k=")</f>
        <v>#VALUE!</v>
      </c>
      <c r="DC1" s="215" t="str">
        <f>AND(JavaSpring_Syllabus!B46,"AAAAAH7b/2o=")</f>
        <v>#VALUE!</v>
      </c>
      <c r="DD1" s="215" t="str">
        <f>AND(JavaSpring_Syllabus!C46,"AAAAAH7b/2s=")</f>
        <v>#VALUE!</v>
      </c>
      <c r="DE1" s="215" t="str">
        <f>AND(JavaSpring_Syllabus!D46,"AAAAAH7b/2w=")</f>
        <v>#VALUE!</v>
      </c>
      <c r="DF1" s="215" t="str">
        <f>AND(JavaSpring_Syllabus!E46,"AAAAAH7b/20=")</f>
        <v>#VALUE!</v>
      </c>
      <c r="DG1" s="215" t="str">
        <f>AND(JavaSpring_Syllabus!#REF!,"AAAAAH7b/24=")</f>
        <v>#ERROR!</v>
      </c>
      <c r="DH1" s="215" t="str">
        <f>AND(JavaSpring_Syllabus!#REF!,"AAAAAH7b/28=")</f>
        <v>#ERROR!</v>
      </c>
      <c r="DI1" s="215" t="str">
        <f>IF(JavaSpring_Syllabus!47:47,"AAAAAH7b/3A=",0)</f>
        <v>#VALUE!</v>
      </c>
      <c r="DJ1" s="215" t="str">
        <f>AND(JavaSpring_Syllabus!A47,"AAAAAH7b/3E=")</f>
        <v>#VALUE!</v>
      </c>
      <c r="DK1" s="215" t="str">
        <f>AND(JavaSpring_Syllabus!B47,"AAAAAH7b/3I=")</f>
        <v>#VALUE!</v>
      </c>
      <c r="DL1" s="215" t="str">
        <f>AND(JavaSpring_Syllabus!C47,"AAAAAH7b/3M=")</f>
        <v>#VALUE!</v>
      </c>
      <c r="DM1" s="215" t="str">
        <f>AND(JavaSpring_Syllabus!D47,"AAAAAH7b/3Q=")</f>
        <v>#VALUE!</v>
      </c>
      <c r="DN1" s="215" t="str">
        <f>AND(JavaSpring_Syllabus!E47,"AAAAAH7b/3U=")</f>
        <v>#VALUE!</v>
      </c>
      <c r="DO1" s="215" t="str">
        <f>AND(JavaSpring_Syllabus!#REF!,"AAAAAH7b/3Y=")</f>
        <v>#ERROR!</v>
      </c>
      <c r="DP1" s="215" t="str">
        <f>AND(JavaSpring_Syllabus!#REF!,"AAAAAH7b/3c=")</f>
        <v>#ERROR!</v>
      </c>
      <c r="DQ1" s="215" t="str">
        <f>IF(JavaSpring_Syllabus!48:48,"AAAAAH7b/3g=",0)</f>
        <v>#VALUE!</v>
      </c>
      <c r="DR1" s="215" t="str">
        <f>AND(JavaSpring_Syllabus!A48,"AAAAAH7b/3k=")</f>
        <v>#VALUE!</v>
      </c>
      <c r="DS1" s="215" t="str">
        <f>AND(JavaSpring_Syllabus!B48,"AAAAAH7b/3o=")</f>
        <v>#VALUE!</v>
      </c>
      <c r="DT1" s="215" t="str">
        <f>AND(JavaSpring_Syllabus!C48,"AAAAAH7b/3s=")</f>
        <v>#VALUE!</v>
      </c>
      <c r="DU1" s="215" t="b">
        <f>AND(JavaSpring_Syllabus!D48,"AAAAAH7b/3w=")</f>
        <v>0</v>
      </c>
      <c r="DV1" s="215" t="str">
        <f>AND(JavaSpring_Syllabus!E48,"AAAAAH7b/30=")</f>
        <v>#VALUE!</v>
      </c>
      <c r="DW1" s="215" t="str">
        <f>AND(JavaSpring_Syllabus!#REF!,"AAAAAH7b/34=")</f>
        <v>#ERROR!</v>
      </c>
      <c r="DX1" s="215" t="str">
        <f>AND(JavaSpring_Syllabus!#REF!,"AAAAAH7b/38=")</f>
        <v>#ERROR!</v>
      </c>
      <c r="DY1" s="215" t="str">
        <f>IF(JavaSpring_Syllabus!49:49,"AAAAAH7b/4A=",0)</f>
        <v>#VALUE!</v>
      </c>
      <c r="DZ1" s="215" t="str">
        <f>AND(JavaSpring_Syllabus!A49,"AAAAAH7b/4E=")</f>
        <v>#VALUE!</v>
      </c>
      <c r="EA1" s="215" t="str">
        <f>AND(JavaSpring_Syllabus!B49,"AAAAAH7b/4I=")</f>
        <v>#VALUE!</v>
      </c>
      <c r="EB1" s="215" t="str">
        <f>AND(JavaSpring_Syllabus!C49,"AAAAAH7b/4M=")</f>
        <v>#VALUE!</v>
      </c>
      <c r="EC1" s="215" t="str">
        <f>AND(JavaSpring_Syllabus!D49,"AAAAAH7b/4Q=")</f>
        <v>#VALUE!</v>
      </c>
      <c r="ED1" s="215" t="str">
        <f>AND(JavaSpring_Syllabus!E49,"AAAAAH7b/4U=")</f>
        <v>#VALUE!</v>
      </c>
      <c r="EE1" s="215" t="str">
        <f>AND(JavaSpring_Syllabus!#REF!,"AAAAAH7b/4Y=")</f>
        <v>#ERROR!</v>
      </c>
      <c r="EF1" s="215" t="str">
        <f>AND(JavaSpring_Syllabus!#REF!,"AAAAAH7b/4c=")</f>
        <v>#ERROR!</v>
      </c>
      <c r="EG1" s="215" t="str">
        <f>IF(JavaSpring_Syllabus!50:50,"AAAAAH7b/4g=",0)</f>
        <v>#VALUE!</v>
      </c>
      <c r="EH1" s="215" t="str">
        <f>AND(JavaSpring_Syllabus!A50,"AAAAAH7b/4k=")</f>
        <v>#VALUE!</v>
      </c>
      <c r="EI1" s="215" t="str">
        <f>AND(JavaSpring_Syllabus!B50,"AAAAAH7b/4o=")</f>
        <v>#VALUE!</v>
      </c>
      <c r="EJ1" s="215" t="str">
        <f>AND(JavaSpring_Syllabus!C50,"AAAAAH7b/4s=")</f>
        <v>#VALUE!</v>
      </c>
      <c r="EK1" s="215" t="str">
        <f>AND(JavaSpring_Syllabus!D50,"AAAAAH7b/4w=")</f>
        <v>#VALUE!</v>
      </c>
      <c r="EL1" s="215" t="str">
        <f>AND(JavaSpring_Syllabus!E50,"AAAAAH7b/40=")</f>
        <v>#VALUE!</v>
      </c>
      <c r="EM1" s="215" t="str">
        <f>AND(JavaSpring_Syllabus!#REF!,"AAAAAH7b/44=")</f>
        <v>#ERROR!</v>
      </c>
      <c r="EN1" s="215" t="str">
        <f>AND(JavaSpring_Syllabus!#REF!,"AAAAAH7b/48=")</f>
        <v>#ERROR!</v>
      </c>
      <c r="EO1" s="215" t="str">
        <f>IF(JavaSpring_Syllabus!51:51,"AAAAAH7b/5A=",0)</f>
        <v>#VALUE!</v>
      </c>
      <c r="EP1" s="215" t="str">
        <f>AND(JavaSpring_Syllabus!A51,"AAAAAH7b/5E=")</f>
        <v>#VALUE!</v>
      </c>
      <c r="EQ1" s="215" t="str">
        <f>AND(JavaSpring_Syllabus!B51,"AAAAAH7b/5I=")</f>
        <v>#VALUE!</v>
      </c>
      <c r="ER1" s="215" t="str">
        <f>AND(JavaSpring_Syllabus!C51,"AAAAAH7b/5M=")</f>
        <v>#VALUE!</v>
      </c>
      <c r="ES1" s="215" t="str">
        <f>AND(JavaSpring_Syllabus!D51,"AAAAAH7b/5Q=")</f>
        <v>#VALUE!</v>
      </c>
      <c r="ET1" s="215" t="str">
        <f>AND(JavaSpring_Syllabus!E51,"AAAAAH7b/5U=")</f>
        <v>#VALUE!</v>
      </c>
      <c r="EU1" s="215" t="str">
        <f>AND(JavaSpring_Syllabus!#REF!,"AAAAAH7b/5Y=")</f>
        <v>#ERROR!</v>
      </c>
      <c r="EV1" s="215" t="str">
        <f>AND(JavaSpring_Syllabus!#REF!,"AAAAAH7b/5c=")</f>
        <v>#ERROR!</v>
      </c>
      <c r="EW1" s="215" t="str">
        <f>IF(JavaSpring_Syllabus!52:52,"AAAAAH7b/5g=",0)</f>
        <v>#VALUE!</v>
      </c>
      <c r="EX1" s="215" t="str">
        <f>AND(JavaSpring_Syllabus!A52,"AAAAAH7b/5k=")</f>
        <v>#VALUE!</v>
      </c>
      <c r="EY1" s="215" t="str">
        <f>AND(JavaSpring_Syllabus!B52,"AAAAAH7b/5o=")</f>
        <v>#VALUE!</v>
      </c>
      <c r="EZ1" s="215" t="str">
        <f>AND(JavaSpring_Syllabus!C52,"AAAAAH7b/5s=")</f>
        <v>#VALUE!</v>
      </c>
      <c r="FA1" s="215" t="str">
        <f>AND(JavaSpring_Syllabus!D52,"AAAAAH7b/5w=")</f>
        <v>#VALUE!</v>
      </c>
      <c r="FB1" s="215" t="str">
        <f>AND(JavaSpring_Syllabus!E52,"AAAAAH7b/50=")</f>
        <v>#VALUE!</v>
      </c>
      <c r="FC1" s="215" t="str">
        <f>AND(JavaSpring_Syllabus!#REF!,"AAAAAH7b/54=")</f>
        <v>#ERROR!</v>
      </c>
      <c r="FD1" s="215" t="str">
        <f>AND(JavaSpring_Syllabus!#REF!,"AAAAAH7b/58=")</f>
        <v>#ERROR!</v>
      </c>
      <c r="FE1" s="215" t="str">
        <f>IF(JavaSpring_Syllabus!53:53,"AAAAAH7b/6A=",0)</f>
        <v>#VALUE!</v>
      </c>
      <c r="FF1" s="215" t="str">
        <f>AND(JavaSpring_Syllabus!A53,"AAAAAH7b/6E=")</f>
        <v>#VALUE!</v>
      </c>
      <c r="FG1" s="215" t="str">
        <f>AND(JavaSpring_Syllabus!B53,"AAAAAH7b/6I=")</f>
        <v>#VALUE!</v>
      </c>
      <c r="FH1" s="215" t="str">
        <f>AND(JavaSpring_Syllabus!C53,"AAAAAH7b/6M=")</f>
        <v>#VALUE!</v>
      </c>
      <c r="FI1" s="215" t="str">
        <f>AND(JavaSpring_Syllabus!D53,"AAAAAH7b/6Q=")</f>
        <v>#VALUE!</v>
      </c>
      <c r="FJ1" s="215" t="str">
        <f>AND(JavaSpring_Syllabus!E53,"AAAAAH7b/6U=")</f>
        <v>#VALUE!</v>
      </c>
      <c r="FK1" s="215" t="str">
        <f>AND(JavaSpring_Syllabus!#REF!,"AAAAAH7b/6Y=")</f>
        <v>#ERROR!</v>
      </c>
      <c r="FL1" s="215" t="str">
        <f>AND(JavaSpring_Syllabus!#REF!,"AAAAAH7b/6c=")</f>
        <v>#ERROR!</v>
      </c>
      <c r="FM1" s="215" t="str">
        <f>IF(JavaSpring_Syllabus!54:54,"AAAAAH7b/6g=",0)</f>
        <v>#VALUE!</v>
      </c>
      <c r="FN1" s="215" t="str">
        <f>AND(JavaSpring_Syllabus!A54,"AAAAAH7b/6k=")</f>
        <v>#VALUE!</v>
      </c>
      <c r="FO1" s="215" t="str">
        <f>AND(JavaSpring_Syllabus!B54,"AAAAAH7b/6o=")</f>
        <v>#VALUE!</v>
      </c>
      <c r="FP1" s="215" t="str">
        <f>AND(JavaSpring_Syllabus!C54,"AAAAAH7b/6s=")</f>
        <v>#VALUE!</v>
      </c>
      <c r="FQ1" s="215" t="str">
        <f>AND(JavaSpring_Syllabus!D54,"AAAAAH7b/6w=")</f>
        <v>#VALUE!</v>
      </c>
      <c r="FR1" s="215" t="str">
        <f>AND(JavaSpring_Syllabus!E54,"AAAAAH7b/60=")</f>
        <v>#VALUE!</v>
      </c>
      <c r="FS1" s="215" t="str">
        <f>AND(JavaSpring_Syllabus!#REF!,"AAAAAH7b/64=")</f>
        <v>#ERROR!</v>
      </c>
      <c r="FT1" s="215" t="str">
        <f>AND(JavaSpring_Syllabus!#REF!,"AAAAAH7b/68=")</f>
        <v>#ERROR!</v>
      </c>
      <c r="FU1" s="215" t="str">
        <f>IF(JavaSpring_Syllabus!55:55,"AAAAAH7b/7A=",0)</f>
        <v>#VALUE!</v>
      </c>
      <c r="FV1" s="215" t="str">
        <f>AND(JavaSpring_Syllabus!A55,"AAAAAH7b/7E=")</f>
        <v>#VALUE!</v>
      </c>
      <c r="FW1" s="215" t="str">
        <f>AND(JavaSpring_Syllabus!B55,"AAAAAH7b/7I=")</f>
        <v>#VALUE!</v>
      </c>
      <c r="FX1" s="215" t="str">
        <f>AND(JavaSpring_Syllabus!C55,"AAAAAH7b/7M=")</f>
        <v>#VALUE!</v>
      </c>
      <c r="FY1" s="215" t="str">
        <f>AND(JavaSpring_Syllabus!D55,"AAAAAH7b/7Q=")</f>
        <v>#VALUE!</v>
      </c>
      <c r="FZ1" s="215" t="str">
        <f>AND(JavaSpring_Syllabus!E55,"AAAAAH7b/7U=")</f>
        <v>#VALUE!</v>
      </c>
      <c r="GA1" s="215" t="str">
        <f>AND(JavaSpring_Syllabus!#REF!,"AAAAAH7b/7Y=")</f>
        <v>#ERROR!</v>
      </c>
      <c r="GB1" s="215" t="str">
        <f>AND(JavaSpring_Syllabus!#REF!,"AAAAAH7b/7c=")</f>
        <v>#ERROR!</v>
      </c>
      <c r="GC1" s="215" t="str">
        <f>IF(_xlfn.SINGLE(JavaSpring_Syllabus!#REF!),"AAAAAH7b/7g=",0)</f>
        <v>#ERROR!</v>
      </c>
      <c r="GD1" s="215" t="str">
        <f>AND(JavaSpring_Syllabus!#REF!,"AAAAAH7b/7k=")</f>
        <v>#ERROR!</v>
      </c>
      <c r="GE1" s="215" t="str">
        <f>AND(JavaSpring_Syllabus!#REF!,"AAAAAH7b/7o=")</f>
        <v>#ERROR!</v>
      </c>
      <c r="GF1" s="215" t="str">
        <f>AND(JavaSpring_Syllabus!#REF!,"AAAAAH7b/7s=")</f>
        <v>#ERROR!</v>
      </c>
      <c r="GG1" s="215" t="str">
        <f>AND(JavaSpring_Syllabus!#REF!,"AAAAAH7b/7w=")</f>
        <v>#ERROR!</v>
      </c>
      <c r="GH1" s="215" t="str">
        <f>AND(JavaSpring_Syllabus!#REF!,"AAAAAH7b/70=")</f>
        <v>#ERROR!</v>
      </c>
      <c r="GI1" s="215" t="str">
        <f>AND(JavaSpring_Syllabus!#REF!,"AAAAAH7b/74=")</f>
        <v>#ERROR!</v>
      </c>
      <c r="GJ1" s="215" t="str">
        <f>AND(JavaSpring_Syllabus!#REF!,"AAAAAH7b/78=")</f>
        <v>#ERROR!</v>
      </c>
      <c r="GK1" s="215" t="str">
        <f>IF(JavaSpring_Syllabus!56:56,"AAAAAH7b/8A=",0)</f>
        <v>#VALUE!</v>
      </c>
      <c r="GL1" s="215" t="str">
        <f>AND(JavaSpring_Syllabus!A56,"AAAAAH7b/8E=")</f>
        <v>#VALUE!</v>
      </c>
      <c r="GM1" s="215" t="str">
        <f>AND(JavaSpring_Syllabus!B56,"AAAAAH7b/8I=")</f>
        <v>#VALUE!</v>
      </c>
      <c r="GN1" s="215" t="str">
        <f>AND(JavaSpring_Syllabus!C56,"AAAAAH7b/8M=")</f>
        <v>#VALUE!</v>
      </c>
      <c r="GO1" s="215" t="str">
        <f>AND(JavaSpring_Syllabus!D56,"AAAAAH7b/8Q=")</f>
        <v>#VALUE!</v>
      </c>
      <c r="GP1" s="215" t="str">
        <f>AND(JavaSpring_Syllabus!E56,"AAAAAH7b/8U=")</f>
        <v>#VALUE!</v>
      </c>
      <c r="GQ1" s="215" t="str">
        <f>AND(JavaSpring_Syllabus!#REF!,"AAAAAH7b/8Y=")</f>
        <v>#ERROR!</v>
      </c>
      <c r="GR1" s="215" t="str">
        <f>AND(JavaSpring_Syllabus!#REF!,"AAAAAH7b/8c=")</f>
        <v>#ERROR!</v>
      </c>
      <c r="GS1" s="215" t="str">
        <f>IF(JavaSpring_Syllabus!58:58,"AAAAAH7b/8g=",0)</f>
        <v>#VALUE!</v>
      </c>
      <c r="GT1" s="215" t="str">
        <f>AND(JavaSpring_Syllabus!A58,"AAAAAH7b/8k=")</f>
        <v>#VALUE!</v>
      </c>
      <c r="GU1" s="215" t="str">
        <f>AND(JavaSpring_Syllabus!B58,"AAAAAH7b/8o=")</f>
        <v>#VALUE!</v>
      </c>
      <c r="GV1" s="215" t="str">
        <f>AND(JavaSpring_Syllabus!C58,"AAAAAH7b/8s=")</f>
        <v>#VALUE!</v>
      </c>
      <c r="GW1" s="215" t="str">
        <f>AND(JavaSpring_Syllabus!D58,"AAAAAH7b/8w=")</f>
        <v>#VALUE!</v>
      </c>
      <c r="GX1" s="215" t="str">
        <f>AND(JavaSpring_Syllabus!E58,"AAAAAH7b/80=")</f>
        <v>#VALUE!</v>
      </c>
      <c r="GY1" s="215" t="str">
        <f>AND(JavaSpring_Syllabus!#REF!,"AAAAAH7b/84=")</f>
        <v>#ERROR!</v>
      </c>
      <c r="GZ1" s="215" t="str">
        <f>AND(JavaSpring_Syllabus!#REF!,"AAAAAH7b/88=")</f>
        <v>#ERROR!</v>
      </c>
      <c r="HA1" s="215" t="str">
        <f>IF(JavaSpring_Syllabus!59:59,"AAAAAH7b/9A=",0)</f>
        <v>#VALUE!</v>
      </c>
      <c r="HB1" s="215" t="str">
        <f>AND(JavaSpring_Syllabus!A59,"AAAAAH7b/9E=")</f>
        <v>#VALUE!</v>
      </c>
      <c r="HC1" s="215" t="str">
        <f>AND(JavaSpring_Syllabus!B59,"AAAAAH7b/9I=")</f>
        <v>#VALUE!</v>
      </c>
      <c r="HD1" s="215" t="str">
        <f>AND(JavaSpring_Syllabus!C59,"AAAAAH7b/9M=")</f>
        <v>#VALUE!</v>
      </c>
      <c r="HE1" s="215" t="str">
        <f>AND(JavaSpring_Syllabus!D59,"AAAAAH7b/9Q=")</f>
        <v>#VALUE!</v>
      </c>
      <c r="HF1" s="215" t="str">
        <f>AND(JavaSpring_Syllabus!E59,"AAAAAH7b/9U=")</f>
        <v>#VALUE!</v>
      </c>
      <c r="HG1" s="215" t="str">
        <f>AND(JavaSpring_Syllabus!#REF!,"AAAAAH7b/9Y=")</f>
        <v>#ERROR!</v>
      </c>
      <c r="HH1" s="215" t="str">
        <f>AND(JavaSpring_Syllabus!#REF!,"AAAAAH7b/9c=")</f>
        <v>#ERROR!</v>
      </c>
      <c r="HI1" s="215" t="str">
        <f>IF(JavaSpring_Syllabus!60:60,"AAAAAH7b/9g=",0)</f>
        <v>#VALUE!</v>
      </c>
      <c r="HJ1" s="215" t="str">
        <f>AND(JavaSpring_Syllabus!A60,"AAAAAH7b/9k=")</f>
        <v>#VALUE!</v>
      </c>
      <c r="HK1" s="215" t="str">
        <f>AND(JavaSpring_Syllabus!B60,"AAAAAH7b/9o=")</f>
        <v>#VALUE!</v>
      </c>
      <c r="HL1" s="215" t="str">
        <f>AND(JavaSpring_Syllabus!C60,"AAAAAH7b/9s=")</f>
        <v>#VALUE!</v>
      </c>
      <c r="HM1" s="215" t="str">
        <f>AND(JavaSpring_Syllabus!D60,"AAAAAH7b/9w=")</f>
        <v>#VALUE!</v>
      </c>
      <c r="HN1" s="215" t="str">
        <f>AND(JavaSpring_Syllabus!E60,"AAAAAH7b/90=")</f>
        <v>#VALUE!</v>
      </c>
      <c r="HO1" s="215" t="str">
        <f>AND(JavaSpring_Syllabus!#REF!,"AAAAAH7b/94=")</f>
        <v>#ERROR!</v>
      </c>
      <c r="HP1" s="215" t="str">
        <f>AND(JavaSpring_Syllabus!#REF!,"AAAAAH7b/98=")</f>
        <v>#ERROR!</v>
      </c>
      <c r="HQ1" s="215" t="str">
        <f>IF(JavaSpring_Syllabus!61:61,"AAAAAH7b/+A=",0)</f>
        <v>#VALUE!</v>
      </c>
      <c r="HR1" s="215" t="str">
        <f>AND(JavaSpring_Syllabus!A61,"AAAAAH7b/+E=")</f>
        <v>#VALUE!</v>
      </c>
      <c r="HS1" s="215" t="str">
        <f>AND(JavaSpring_Syllabus!B61,"AAAAAH7b/+I=")</f>
        <v>#VALUE!</v>
      </c>
      <c r="HT1" s="215" t="str">
        <f>AND(JavaSpring_Syllabus!C61,"AAAAAH7b/+M=")</f>
        <v>#VALUE!</v>
      </c>
      <c r="HU1" s="215" t="str">
        <f>AND(JavaSpring_Syllabus!D61,"AAAAAH7b/+Q=")</f>
        <v>#VALUE!</v>
      </c>
      <c r="HV1" s="215" t="str">
        <f>AND(JavaSpring_Syllabus!E61,"AAAAAH7b/+U=")</f>
        <v>#VALUE!</v>
      </c>
      <c r="HW1" s="215" t="str">
        <f>AND(JavaSpring_Syllabus!#REF!,"AAAAAH7b/+Y=")</f>
        <v>#ERROR!</v>
      </c>
      <c r="HX1" s="215" t="str">
        <f>AND(JavaSpring_Syllabus!#REF!,"AAAAAH7b/+c=")</f>
        <v>#ERROR!</v>
      </c>
      <c r="HY1" s="215" t="str">
        <f>IF(JavaSpring_Syllabus!62:62,"AAAAAH7b/+g=",0)</f>
        <v>#VALUE!</v>
      </c>
      <c r="HZ1" s="215" t="str">
        <f>AND(JavaSpring_Syllabus!A62,"AAAAAH7b/+k=")</f>
        <v>#VALUE!</v>
      </c>
      <c r="IA1" s="215" t="str">
        <f>AND(JavaSpring_Syllabus!B62,"AAAAAH7b/+o=")</f>
        <v>#VALUE!</v>
      </c>
      <c r="IB1" s="215" t="str">
        <f>AND(JavaSpring_Syllabus!C62,"AAAAAH7b/+s=")</f>
        <v>#VALUE!</v>
      </c>
      <c r="IC1" s="215" t="str">
        <f>AND(JavaSpring_Syllabus!D62,"AAAAAH7b/+w=")</f>
        <v>#VALUE!</v>
      </c>
      <c r="ID1" s="215" t="str">
        <f>AND(JavaSpring_Syllabus!E62,"AAAAAH7b/+0=")</f>
        <v>#VALUE!</v>
      </c>
      <c r="IE1" s="215" t="str">
        <f>AND(JavaSpring_Syllabus!#REF!,"AAAAAH7b/+4=")</f>
        <v>#ERROR!</v>
      </c>
      <c r="IF1" s="215" t="str">
        <f>AND(JavaSpring_Syllabus!#REF!,"AAAAAH7b/+8=")</f>
        <v>#ERROR!</v>
      </c>
      <c r="IG1" s="215" t="str">
        <f>IF(JavaSpring_Syllabus!63:63,"AAAAAH7b//A=",0)</f>
        <v>#VALUE!</v>
      </c>
      <c r="IH1" s="215" t="str">
        <f>AND(JavaSpring_Syllabus!A63,"AAAAAH7b//E=")</f>
        <v>#VALUE!</v>
      </c>
      <c r="II1" s="215" t="str">
        <f>AND(JavaSpring_Syllabus!B63,"AAAAAH7b//I=")</f>
        <v>#VALUE!</v>
      </c>
      <c r="IJ1" s="215" t="str">
        <f>AND(JavaSpring_Syllabus!C63,"AAAAAH7b//M=")</f>
        <v>#VALUE!</v>
      </c>
      <c r="IK1" s="215" t="str">
        <f>AND(JavaSpring_Syllabus!D63,"AAAAAH7b//Q=")</f>
        <v>#VALUE!</v>
      </c>
      <c r="IL1" s="215" t="str">
        <f>AND(JavaSpring_Syllabus!E63,"AAAAAH7b//U=")</f>
        <v>#VALUE!</v>
      </c>
      <c r="IM1" s="215" t="str">
        <f>AND(JavaSpring_Syllabus!#REF!,"AAAAAH7b//Y=")</f>
        <v>#ERROR!</v>
      </c>
      <c r="IN1" s="215" t="str">
        <f>AND(JavaSpring_Syllabus!#REF!,"AAAAAH7b//c=")</f>
        <v>#ERROR!</v>
      </c>
      <c r="IO1" s="215" t="str">
        <f>IF(JavaSpring_Syllabus!64:64,"AAAAAH7b//g=",0)</f>
        <v>#VALUE!</v>
      </c>
      <c r="IP1" s="215" t="str">
        <f>AND(JavaSpring_Syllabus!A64,"AAAAAH7b//k=")</f>
        <v>#VALUE!</v>
      </c>
      <c r="IQ1" s="215" t="str">
        <f>AND(JavaSpring_Syllabus!B64,"AAAAAH7b//o=")</f>
        <v>#VALUE!</v>
      </c>
      <c r="IR1" s="215" t="str">
        <f>AND(JavaSpring_Syllabus!C64,"AAAAAH7b//s=")</f>
        <v>#VALUE!</v>
      </c>
      <c r="IS1" s="215" t="str">
        <f>AND(JavaSpring_Syllabus!D64,"AAAAAH7b//w=")</f>
        <v>#VALUE!</v>
      </c>
      <c r="IT1" s="215" t="str">
        <f>AND(JavaSpring_Syllabus!E64,"AAAAAH7b//0=")</f>
        <v>#VALUE!</v>
      </c>
      <c r="IU1" s="215" t="str">
        <f>AND(JavaSpring_Syllabus!#REF!,"AAAAAH7b//4=")</f>
        <v>#ERROR!</v>
      </c>
      <c r="IV1" s="215" t="str">
        <f>AND(JavaSpring_Syllabus!#REF!,"AAAAAH7b//8=")</f>
        <v>#ERROR!</v>
      </c>
    </row>
    <row r="2" ht="12.75" customHeight="1">
      <c r="A2" s="215">
        <f>IF(JavaSpring_Syllabus!65:65,"AAAAAH/vfwA=",0)</f>
        <v>0</v>
      </c>
      <c r="B2" s="215" t="str">
        <f>AND(JavaSpring_Syllabus!A65,"AAAAAH/vfwE=")</f>
        <v>#VALUE!</v>
      </c>
      <c r="C2" s="215" t="str">
        <f>AND(JavaSpring_Syllabus!B65,"AAAAAH/vfwI=")</f>
        <v>#VALUE!</v>
      </c>
      <c r="D2" s="215" t="str">
        <f>AND(JavaSpring_Syllabus!C65,"AAAAAH/vfwM=")</f>
        <v>#VALUE!</v>
      </c>
      <c r="E2" s="215" t="str">
        <f>AND(JavaSpring_Syllabus!D65,"AAAAAH/vfwQ=")</f>
        <v>#VALUE!</v>
      </c>
      <c r="F2" s="215" t="str">
        <f>AND(JavaSpring_Syllabus!E65,"AAAAAH/vfwU=")</f>
        <v>#VALUE!</v>
      </c>
      <c r="G2" s="215" t="str">
        <f>AND(JavaSpring_Syllabus!#REF!,"AAAAAH/vfwY=")</f>
        <v>#ERROR!</v>
      </c>
      <c r="H2" s="215" t="str">
        <f>AND(JavaSpring_Syllabus!#REF!,"AAAAAH/vfwc=")</f>
        <v>#ERROR!</v>
      </c>
      <c r="I2" s="215">
        <f>IF(JavaSpring_Syllabus!66:66,"AAAAAH/vfwg=",0)</f>
        <v>0</v>
      </c>
      <c r="J2" s="215" t="str">
        <f>AND(JavaSpring_Syllabus!A66,"AAAAAH/vfwk=")</f>
        <v>#VALUE!</v>
      </c>
      <c r="K2" s="215" t="str">
        <f>AND(JavaSpring_Syllabus!B66,"AAAAAH/vfwo=")</f>
        <v>#VALUE!</v>
      </c>
      <c r="L2" s="215" t="str">
        <f>AND(JavaSpring_Syllabus!C66,"AAAAAH/vfws=")</f>
        <v>#VALUE!</v>
      </c>
      <c r="M2" s="215" t="str">
        <f>AND(JavaSpring_Syllabus!D66,"AAAAAH/vfww=")</f>
        <v>#VALUE!</v>
      </c>
      <c r="N2" s="215" t="str">
        <f>AND(JavaSpring_Syllabus!E66,"AAAAAH/vfw0=")</f>
        <v>#VALUE!</v>
      </c>
      <c r="O2" s="215" t="str">
        <f>AND(JavaSpring_Syllabus!#REF!,"AAAAAH/vfw4=")</f>
        <v>#ERROR!</v>
      </c>
      <c r="P2" s="215" t="str">
        <f>AND(JavaSpring_Syllabus!#REF!,"AAAAAH/vfw8=")</f>
        <v>#ERROR!</v>
      </c>
      <c r="Q2" s="215" t="str">
        <f>IF(JavaSpring_Syllabus!#REF!,"AAAAAH/vfxA=",0)</f>
        <v>#ERROR!</v>
      </c>
      <c r="R2" s="215" t="str">
        <f>IF(JavaSpring_Syllabus!A:A,"AAAAAH/vfxE=",0)</f>
        <v>#VALUE!</v>
      </c>
      <c r="S2" s="215">
        <f>IF(JavaSpring_Syllabus!B:B,"AAAAAH/vfxI=",0)</f>
        <v>0</v>
      </c>
      <c r="T2" s="215">
        <f>IF(JavaSpring_Syllabus!C:C,"AAAAAH/vfxM=",0)</f>
        <v>0</v>
      </c>
      <c r="U2" s="215">
        <f>IF(JavaSpring_Syllabus!D:D,"AAAAAH/vfxQ=",0)</f>
        <v>0</v>
      </c>
      <c r="V2" s="215">
        <f>IF(JavaSpring_Syllabus!E:E,"AAAAAH/vfxU=",0)</f>
        <v>0</v>
      </c>
      <c r="W2" s="215" t="str">
        <f>IF(_xlfn.SINGLE(JavaSpring_Syllabus!#REF!),"AAAAAH/vfxY=",0)</f>
        <v>#ERROR!</v>
      </c>
      <c r="X2" s="215" t="str">
        <f>IF(_xlfn.SINGLE(JavaSpring_Syllabus!#REF!),"AAAAAH/vfxc=",0)</f>
        <v>#ERROR!</v>
      </c>
      <c r="Y2" s="215" t="str">
        <f>IF(#REF!,"AAAAAH/vfxg=",0)</f>
        <v>#REF!</v>
      </c>
      <c r="Z2" s="215" t="str">
        <f>AND(#REF!,"AAAAAH/vfxk=")</f>
        <v>#REF!</v>
      </c>
      <c r="AA2" s="215" t="str">
        <f>AND(#REF!,"AAAAAH/vfxo=")</f>
        <v>#REF!</v>
      </c>
      <c r="AB2" s="215" t="str">
        <f>AND(#REF!,"AAAAAH/vfxs=")</f>
        <v>#REF!</v>
      </c>
      <c r="AC2" s="215" t="str">
        <f>AND(#REF!,"AAAAAH/vfxw=")</f>
        <v>#REF!</v>
      </c>
      <c r="AD2" s="215" t="str">
        <f>AND(#REF!,"AAAAAH/vfx0=")</f>
        <v>#REF!</v>
      </c>
      <c r="AE2" s="215" t="str">
        <f>AND(#REF!,"AAAAAH/vfx4=")</f>
        <v>#REF!</v>
      </c>
      <c r="AF2" s="215" t="str">
        <f>IF(#REF!,"AAAAAH/vfx8=",0)</f>
        <v>#REF!</v>
      </c>
      <c r="AG2" s="215" t="str">
        <f>AND(#REF!,"AAAAAH/vfyA=")</f>
        <v>#REF!</v>
      </c>
      <c r="AH2" s="215" t="str">
        <f>AND(#REF!,"AAAAAH/vfyE=")</f>
        <v>#REF!</v>
      </c>
      <c r="AI2" s="215" t="str">
        <f>AND(#REF!,"AAAAAH/vfyI=")</f>
        <v>#REF!</v>
      </c>
      <c r="AJ2" s="215" t="str">
        <f>AND(#REF!,"AAAAAH/vfyM=")</f>
        <v>#REF!</v>
      </c>
      <c r="AK2" s="215" t="str">
        <f>AND(#REF!,"AAAAAH/vfyQ=")</f>
        <v>#REF!</v>
      </c>
      <c r="AL2" s="215" t="str">
        <f>AND(#REF!,"AAAAAH/vfyU=")</f>
        <v>#REF!</v>
      </c>
      <c r="AM2" s="215" t="str">
        <f>IF(#REF!,"AAAAAH/vfyY=",0)</f>
        <v>#REF!</v>
      </c>
      <c r="AN2" s="215" t="str">
        <f>AND(#REF!,"AAAAAH/vfyc=")</f>
        <v>#REF!</v>
      </c>
      <c r="AO2" s="215" t="str">
        <f>AND(#REF!,"AAAAAH/vfyg=")</f>
        <v>#REF!</v>
      </c>
      <c r="AP2" s="215" t="str">
        <f>AND(#REF!,"AAAAAH/vfyk=")</f>
        <v>#REF!</v>
      </c>
      <c r="AQ2" s="215" t="str">
        <f>AND(#REF!,"AAAAAH/vfyo=")</f>
        <v>#REF!</v>
      </c>
      <c r="AR2" s="215" t="str">
        <f>AND(#REF!,"AAAAAH/vfys=")</f>
        <v>#REF!</v>
      </c>
      <c r="AS2" s="215" t="str">
        <f>AND(#REF!,"AAAAAH/vfyw=")</f>
        <v>#REF!</v>
      </c>
      <c r="AT2" s="215" t="str">
        <f>IF(#REF!,"AAAAAH/vfy0=",0)</f>
        <v>#REF!</v>
      </c>
      <c r="AU2" s="215" t="str">
        <f>AND(#REF!,"AAAAAH/vfy4=")</f>
        <v>#REF!</v>
      </c>
      <c r="AV2" s="215" t="str">
        <f>AND(#REF!,"AAAAAH/vfy8=")</f>
        <v>#REF!</v>
      </c>
      <c r="AW2" s="215" t="str">
        <f>AND(#REF!,"AAAAAH/vfzA=")</f>
        <v>#REF!</v>
      </c>
      <c r="AX2" s="215" t="str">
        <f>AND(#REF!,"AAAAAH/vfzE=")</f>
        <v>#REF!</v>
      </c>
      <c r="AY2" s="215" t="str">
        <f>AND(#REF!,"AAAAAH/vfzI=")</f>
        <v>#REF!</v>
      </c>
      <c r="AZ2" s="215" t="str">
        <f>AND(#REF!,"AAAAAH/vfzM=")</f>
        <v>#REF!</v>
      </c>
      <c r="BA2" s="215" t="str">
        <f>IF(#REF!,"AAAAAH/vfzQ=",0)</f>
        <v>#REF!</v>
      </c>
      <c r="BB2" s="215" t="str">
        <f>AND(#REF!,"AAAAAH/vfzU=")</f>
        <v>#REF!</v>
      </c>
      <c r="BC2" s="215" t="str">
        <f>AND(#REF!,"AAAAAH/vfzY=")</f>
        <v>#REF!</v>
      </c>
      <c r="BD2" s="215" t="str">
        <f>AND(#REF!,"AAAAAH/vfzc=")</f>
        <v>#REF!</v>
      </c>
      <c r="BE2" s="215" t="str">
        <f>AND(#REF!,"AAAAAH/vfzg=")</f>
        <v>#REF!</v>
      </c>
      <c r="BF2" s="215" t="str">
        <f>AND(#REF!,"AAAAAH/vfzk=")</f>
        <v>#REF!</v>
      </c>
      <c r="BG2" s="215" t="str">
        <f>AND(#REF!,"AAAAAH/vfzo=")</f>
        <v>#REF!</v>
      </c>
      <c r="BH2" s="215" t="str">
        <f>IF(#REF!,"AAAAAH/vfzs=",0)</f>
        <v>#REF!</v>
      </c>
      <c r="BI2" s="215" t="str">
        <f>AND(#REF!,"AAAAAH/vfzw=")</f>
        <v>#REF!</v>
      </c>
      <c r="BJ2" s="215" t="str">
        <f>AND(#REF!,"AAAAAH/vfz0=")</f>
        <v>#REF!</v>
      </c>
      <c r="BK2" s="215" t="str">
        <f>AND(#REF!,"AAAAAH/vfz4=")</f>
        <v>#REF!</v>
      </c>
      <c r="BL2" s="215" t="str">
        <f>AND(#REF!,"AAAAAH/vfz8=")</f>
        <v>#REF!</v>
      </c>
      <c r="BM2" s="215" t="str">
        <f>AND(#REF!,"AAAAAH/vf0A=")</f>
        <v>#REF!</v>
      </c>
      <c r="BN2" s="215" t="str">
        <f>AND(#REF!,"AAAAAH/vf0E=")</f>
        <v>#REF!</v>
      </c>
      <c r="BO2" s="215" t="str">
        <f>IF(#REF!,"AAAAAH/vf0I=",0)</f>
        <v>#REF!</v>
      </c>
      <c r="BP2" s="215" t="str">
        <f>AND(#REF!,"AAAAAH/vf0M=")</f>
        <v>#REF!</v>
      </c>
      <c r="BQ2" s="215" t="str">
        <f>AND(#REF!,"AAAAAH/vf0Q=")</f>
        <v>#REF!</v>
      </c>
      <c r="BR2" s="215" t="str">
        <f>AND(#REF!,"AAAAAH/vf0U=")</f>
        <v>#REF!</v>
      </c>
      <c r="BS2" s="215" t="str">
        <f>AND(#REF!,"AAAAAH/vf0Y=")</f>
        <v>#REF!</v>
      </c>
      <c r="BT2" s="215" t="str">
        <f>AND(#REF!,"AAAAAH/vf0c=")</f>
        <v>#REF!</v>
      </c>
      <c r="BU2" s="215" t="str">
        <f>AND(#REF!,"AAAAAH/vf0g=")</f>
        <v>#REF!</v>
      </c>
      <c r="BV2" s="215" t="str">
        <f>IF(#REF!,"AAAAAH/vf0k=",0)</f>
        <v>#REF!</v>
      </c>
      <c r="BW2" s="215" t="str">
        <f>AND(#REF!,"AAAAAH/vf0o=")</f>
        <v>#REF!</v>
      </c>
      <c r="BX2" s="215" t="str">
        <f>AND(#REF!,"AAAAAH/vf0s=")</f>
        <v>#REF!</v>
      </c>
      <c r="BY2" s="215" t="str">
        <f>AND(#REF!,"AAAAAH/vf0w=")</f>
        <v>#REF!</v>
      </c>
      <c r="BZ2" s="215" t="str">
        <f>AND(#REF!,"AAAAAH/vf00=")</f>
        <v>#REF!</v>
      </c>
      <c r="CA2" s="215" t="str">
        <f>AND(#REF!,"AAAAAH/vf04=")</f>
        <v>#REF!</v>
      </c>
      <c r="CB2" s="215" t="str">
        <f>AND(#REF!,"AAAAAH/vf08=")</f>
        <v>#REF!</v>
      </c>
      <c r="CC2" s="215" t="str">
        <f>IF(#REF!,"AAAAAH/vf1A=",0)</f>
        <v>#REF!</v>
      </c>
      <c r="CD2" s="215" t="str">
        <f>AND(#REF!,"AAAAAH/vf1E=")</f>
        <v>#REF!</v>
      </c>
      <c r="CE2" s="215" t="str">
        <f>AND(#REF!,"AAAAAH/vf1I=")</f>
        <v>#REF!</v>
      </c>
      <c r="CF2" s="215" t="str">
        <f>AND(#REF!,"AAAAAH/vf1M=")</f>
        <v>#REF!</v>
      </c>
      <c r="CG2" s="215" t="str">
        <f>AND(#REF!,"AAAAAH/vf1Q=")</f>
        <v>#REF!</v>
      </c>
      <c r="CH2" s="215" t="str">
        <f>AND(#REF!,"AAAAAH/vf1U=")</f>
        <v>#REF!</v>
      </c>
      <c r="CI2" s="215" t="str">
        <f>AND(#REF!,"AAAAAH/vf1Y=")</f>
        <v>#REF!</v>
      </c>
      <c r="CJ2" s="215" t="str">
        <f>IF(#REF!,"AAAAAH/vf1c=",0)</f>
        <v>#REF!</v>
      </c>
      <c r="CK2" s="215" t="str">
        <f>AND(#REF!,"AAAAAH/vf1g=")</f>
        <v>#REF!</v>
      </c>
      <c r="CL2" s="215" t="str">
        <f>AND(#REF!,"AAAAAH/vf1k=")</f>
        <v>#REF!</v>
      </c>
      <c r="CM2" s="215" t="str">
        <f>AND(#REF!,"AAAAAH/vf1o=")</f>
        <v>#REF!</v>
      </c>
      <c r="CN2" s="215" t="str">
        <f>AND(#REF!,"AAAAAH/vf1s=")</f>
        <v>#REF!</v>
      </c>
      <c r="CO2" s="215" t="str">
        <f>AND(#REF!,"AAAAAH/vf1w=")</f>
        <v>#REF!</v>
      </c>
      <c r="CP2" s="215" t="str">
        <f>AND(#REF!,"AAAAAH/vf10=")</f>
        <v>#REF!</v>
      </c>
      <c r="CQ2" s="215" t="str">
        <f>IF(#REF!,"AAAAAH/vf14=",0)</f>
        <v>#REF!</v>
      </c>
      <c r="CR2" s="215" t="str">
        <f>AND(#REF!,"AAAAAH/vf18=")</f>
        <v>#REF!</v>
      </c>
      <c r="CS2" s="215" t="str">
        <f>AND(#REF!,"AAAAAH/vf2A=")</f>
        <v>#REF!</v>
      </c>
      <c r="CT2" s="215" t="str">
        <f>AND(#REF!,"AAAAAH/vf2E=")</f>
        <v>#REF!</v>
      </c>
      <c r="CU2" s="215" t="str">
        <f>AND(#REF!,"AAAAAH/vf2I=")</f>
        <v>#REF!</v>
      </c>
      <c r="CV2" s="215" t="str">
        <f>AND(#REF!,"AAAAAH/vf2M=")</f>
        <v>#REF!</v>
      </c>
      <c r="CW2" s="215" t="str">
        <f>AND(#REF!,"AAAAAH/vf2Q=")</f>
        <v>#REF!</v>
      </c>
      <c r="CX2" s="215" t="str">
        <f>IF(#REF!,"AAAAAH/vf2U=",0)</f>
        <v>#REF!</v>
      </c>
      <c r="CY2" s="215" t="str">
        <f>AND(#REF!,"AAAAAH/vf2Y=")</f>
        <v>#REF!</v>
      </c>
      <c r="CZ2" s="215" t="str">
        <f>AND(#REF!,"AAAAAH/vf2c=")</f>
        <v>#REF!</v>
      </c>
      <c r="DA2" s="215" t="str">
        <f>AND(#REF!,"AAAAAH/vf2g=")</f>
        <v>#REF!</v>
      </c>
      <c r="DB2" s="215" t="str">
        <f>AND(#REF!,"AAAAAH/vf2k=")</f>
        <v>#REF!</v>
      </c>
      <c r="DC2" s="215" t="str">
        <f>AND(#REF!,"AAAAAH/vf2o=")</f>
        <v>#REF!</v>
      </c>
      <c r="DD2" s="215" t="str">
        <f>AND(#REF!,"AAAAAH/vf2s=")</f>
        <v>#REF!</v>
      </c>
      <c r="DE2" s="215" t="str">
        <f>IF(#REF!,"AAAAAH/vf2w=",0)</f>
        <v>#REF!</v>
      </c>
      <c r="DF2" s="215" t="str">
        <f>AND(#REF!,"AAAAAH/vf20=")</f>
        <v>#REF!</v>
      </c>
      <c r="DG2" s="215" t="str">
        <f>AND(#REF!,"AAAAAH/vf24=")</f>
        <v>#REF!</v>
      </c>
      <c r="DH2" s="215" t="str">
        <f>AND(#REF!,"AAAAAH/vf28=")</f>
        <v>#REF!</v>
      </c>
      <c r="DI2" s="215" t="str">
        <f>AND(#REF!,"AAAAAH/vf3A=")</f>
        <v>#REF!</v>
      </c>
      <c r="DJ2" s="215" t="str">
        <f>AND(#REF!,"AAAAAH/vf3E=")</f>
        <v>#REF!</v>
      </c>
      <c r="DK2" s="215" t="str">
        <f>AND(#REF!,"AAAAAH/vf3I=")</f>
        <v>#REF!</v>
      </c>
      <c r="DL2" s="215" t="str">
        <f>IF(#REF!,"AAAAAH/vf3M=",0)</f>
        <v>#REF!</v>
      </c>
      <c r="DM2" s="215" t="str">
        <f>AND(#REF!,"AAAAAH/vf3Q=")</f>
        <v>#REF!</v>
      </c>
      <c r="DN2" s="215" t="str">
        <f>AND(#REF!,"AAAAAH/vf3U=")</f>
        <v>#REF!</v>
      </c>
      <c r="DO2" s="215" t="str">
        <f>AND(#REF!,"AAAAAH/vf3Y=")</f>
        <v>#REF!</v>
      </c>
      <c r="DP2" s="215" t="str">
        <f>AND(#REF!,"AAAAAH/vf3c=")</f>
        <v>#REF!</v>
      </c>
      <c r="DQ2" s="215" t="str">
        <f>AND(#REF!,"AAAAAH/vf3g=")</f>
        <v>#REF!</v>
      </c>
      <c r="DR2" s="215" t="str">
        <f>AND(#REF!,"AAAAAH/vf3k=")</f>
        <v>#REF!</v>
      </c>
      <c r="DS2" s="215" t="str">
        <f>IF(#REF!,"AAAAAH/vf3o=",0)</f>
        <v>#REF!</v>
      </c>
      <c r="DT2" s="215" t="str">
        <f>AND(#REF!,"AAAAAH/vf3s=")</f>
        <v>#REF!</v>
      </c>
      <c r="DU2" s="215" t="str">
        <f>AND(#REF!,"AAAAAH/vf3w=")</f>
        <v>#REF!</v>
      </c>
      <c r="DV2" s="215" t="str">
        <f>AND(#REF!,"AAAAAH/vf30=")</f>
        <v>#REF!</v>
      </c>
      <c r="DW2" s="215" t="str">
        <f>AND(#REF!,"AAAAAH/vf34=")</f>
        <v>#REF!</v>
      </c>
      <c r="DX2" s="215" t="str">
        <f>AND(#REF!,"AAAAAH/vf38=")</f>
        <v>#REF!</v>
      </c>
      <c r="DY2" s="215" t="str">
        <f>AND(#REF!,"AAAAAH/vf4A=")</f>
        <v>#REF!</v>
      </c>
      <c r="DZ2" s="215" t="str">
        <f>IF(#REF!,"AAAAAH/vf4E=",0)</f>
        <v>#REF!</v>
      </c>
      <c r="EA2" s="215" t="str">
        <f>AND(#REF!,"AAAAAH/vf4I=")</f>
        <v>#REF!</v>
      </c>
      <c r="EB2" s="215" t="str">
        <f>AND(#REF!,"AAAAAH/vf4M=")</f>
        <v>#REF!</v>
      </c>
      <c r="EC2" s="215" t="str">
        <f>AND(#REF!,"AAAAAH/vf4Q=")</f>
        <v>#REF!</v>
      </c>
      <c r="ED2" s="215" t="str">
        <f>AND(#REF!,"AAAAAH/vf4U=")</f>
        <v>#REF!</v>
      </c>
      <c r="EE2" s="215" t="str">
        <f>AND(#REF!,"AAAAAH/vf4Y=")</f>
        <v>#REF!</v>
      </c>
      <c r="EF2" s="215" t="str">
        <f>AND(#REF!,"AAAAAH/vf4c=")</f>
        <v>#REF!</v>
      </c>
      <c r="EG2" s="215" t="str">
        <f>IF(#REF!,"AAAAAH/vf4g=",0)</f>
        <v>#REF!</v>
      </c>
      <c r="EH2" s="215" t="str">
        <f>AND(#REF!,"AAAAAH/vf4k=")</f>
        <v>#REF!</v>
      </c>
      <c r="EI2" s="215" t="str">
        <f>AND(#REF!,"AAAAAH/vf4o=")</f>
        <v>#REF!</v>
      </c>
      <c r="EJ2" s="215" t="str">
        <f>AND(#REF!,"AAAAAH/vf4s=")</f>
        <v>#REF!</v>
      </c>
      <c r="EK2" s="215" t="str">
        <f>AND(#REF!,"AAAAAH/vf4w=")</f>
        <v>#REF!</v>
      </c>
      <c r="EL2" s="215" t="str">
        <f>AND(#REF!,"AAAAAH/vf40=")</f>
        <v>#REF!</v>
      </c>
      <c r="EM2" s="215" t="str">
        <f>AND(#REF!,"AAAAAH/vf44=")</f>
        <v>#REF!</v>
      </c>
      <c r="EN2" s="215" t="str">
        <f>IF(#REF!,"AAAAAH/vf48=",0)</f>
        <v>#REF!</v>
      </c>
      <c r="EO2" s="215" t="str">
        <f>AND(#REF!,"AAAAAH/vf5A=")</f>
        <v>#REF!</v>
      </c>
      <c r="EP2" s="215" t="str">
        <f>AND(#REF!,"AAAAAH/vf5E=")</f>
        <v>#REF!</v>
      </c>
      <c r="EQ2" s="215" t="str">
        <f>AND(#REF!,"AAAAAH/vf5I=")</f>
        <v>#REF!</v>
      </c>
      <c r="ER2" s="215" t="str">
        <f>AND(#REF!,"AAAAAH/vf5M=")</f>
        <v>#REF!</v>
      </c>
      <c r="ES2" s="215" t="str">
        <f>AND(#REF!,"AAAAAH/vf5Q=")</f>
        <v>#REF!</v>
      </c>
      <c r="ET2" s="215" t="str">
        <f>AND(#REF!,"AAAAAH/vf5U=")</f>
        <v>#REF!</v>
      </c>
      <c r="EU2" s="215" t="str">
        <f>IF(#REF!,"AAAAAH/vf5Y=",0)</f>
        <v>#REF!</v>
      </c>
      <c r="EV2" s="215" t="str">
        <f>AND(#REF!,"AAAAAH/vf5c=")</f>
        <v>#REF!</v>
      </c>
      <c r="EW2" s="215" t="str">
        <f>AND(#REF!,"AAAAAH/vf5g=")</f>
        <v>#REF!</v>
      </c>
      <c r="EX2" s="215" t="str">
        <f>AND(#REF!,"AAAAAH/vf5k=")</f>
        <v>#REF!</v>
      </c>
      <c r="EY2" s="215" t="str">
        <f>AND(#REF!,"AAAAAH/vf5o=")</f>
        <v>#REF!</v>
      </c>
      <c r="EZ2" s="215" t="str">
        <f>AND(#REF!,"AAAAAH/vf5s=")</f>
        <v>#REF!</v>
      </c>
      <c r="FA2" s="215" t="str">
        <f>AND(#REF!,"AAAAAH/vf5w=")</f>
        <v>#REF!</v>
      </c>
      <c r="FB2" s="215" t="str">
        <f>IF(#REF!,"AAAAAH/vf50=",0)</f>
        <v>#REF!</v>
      </c>
      <c r="FC2" s="215" t="str">
        <f>AND(#REF!,"AAAAAH/vf54=")</f>
        <v>#REF!</v>
      </c>
      <c r="FD2" s="215" t="str">
        <f>AND(#REF!,"AAAAAH/vf58=")</f>
        <v>#REF!</v>
      </c>
      <c r="FE2" s="215" t="str">
        <f>AND(#REF!,"AAAAAH/vf6A=")</f>
        <v>#REF!</v>
      </c>
      <c r="FF2" s="215" t="str">
        <f>AND(#REF!,"AAAAAH/vf6E=")</f>
        <v>#REF!</v>
      </c>
      <c r="FG2" s="215" t="str">
        <f>AND(#REF!,"AAAAAH/vf6I=")</f>
        <v>#REF!</v>
      </c>
      <c r="FH2" s="215" t="str">
        <f>AND(#REF!,"AAAAAH/vf6M=")</f>
        <v>#REF!</v>
      </c>
      <c r="FI2" s="215" t="str">
        <f>IF(#REF!,"AAAAAH/vf6Q=",0)</f>
        <v>#REF!</v>
      </c>
      <c r="FJ2" s="215" t="str">
        <f>AND(#REF!,"AAAAAH/vf6U=")</f>
        <v>#REF!</v>
      </c>
      <c r="FK2" s="215" t="str">
        <f>AND(#REF!,"AAAAAH/vf6Y=")</f>
        <v>#REF!</v>
      </c>
      <c r="FL2" s="215" t="str">
        <f>AND(#REF!,"AAAAAH/vf6c=")</f>
        <v>#REF!</v>
      </c>
      <c r="FM2" s="215" t="str">
        <f>AND(#REF!,"AAAAAH/vf6g=")</f>
        <v>#REF!</v>
      </c>
      <c r="FN2" s="215" t="str">
        <f>AND(#REF!,"AAAAAH/vf6k=")</f>
        <v>#REF!</v>
      </c>
      <c r="FO2" s="215" t="str">
        <f>AND(#REF!,"AAAAAH/vf6o=")</f>
        <v>#REF!</v>
      </c>
      <c r="FP2" s="215" t="str">
        <f>IF(#REF!,"AAAAAH/vf6s=",0)</f>
        <v>#REF!</v>
      </c>
      <c r="FQ2" s="215" t="str">
        <f>AND(#REF!,"AAAAAH/vf6w=")</f>
        <v>#REF!</v>
      </c>
      <c r="FR2" s="215" t="str">
        <f>AND(#REF!,"AAAAAH/vf60=")</f>
        <v>#REF!</v>
      </c>
      <c r="FS2" s="215" t="str">
        <f>AND(#REF!,"AAAAAH/vf64=")</f>
        <v>#REF!</v>
      </c>
      <c r="FT2" s="215" t="str">
        <f>AND(#REF!,"AAAAAH/vf68=")</f>
        <v>#REF!</v>
      </c>
      <c r="FU2" s="215" t="str">
        <f>AND(#REF!,"AAAAAH/vf7A=")</f>
        <v>#REF!</v>
      </c>
      <c r="FV2" s="215" t="str">
        <f>AND(#REF!,"AAAAAH/vf7E=")</f>
        <v>#REF!</v>
      </c>
      <c r="FW2" s="215" t="str">
        <f>IF(#REF!,"AAAAAH/vf7I=",0)</f>
        <v>#REF!</v>
      </c>
      <c r="FX2" s="215" t="str">
        <f>AND(#REF!,"AAAAAH/vf7M=")</f>
        <v>#REF!</v>
      </c>
      <c r="FY2" s="215" t="str">
        <f>AND(#REF!,"AAAAAH/vf7Q=")</f>
        <v>#REF!</v>
      </c>
      <c r="FZ2" s="215" t="str">
        <f>AND(#REF!,"AAAAAH/vf7U=")</f>
        <v>#REF!</v>
      </c>
      <c r="GA2" s="215" t="str">
        <f>AND(#REF!,"AAAAAH/vf7Y=")</f>
        <v>#REF!</v>
      </c>
      <c r="GB2" s="215" t="str">
        <f>AND(#REF!,"AAAAAH/vf7c=")</f>
        <v>#REF!</v>
      </c>
      <c r="GC2" s="215" t="str">
        <f>AND(#REF!,"AAAAAH/vf7g=")</f>
        <v>#REF!</v>
      </c>
      <c r="GD2" s="215" t="str">
        <f>IF(#REF!,"AAAAAH/vf7k=",0)</f>
        <v>#REF!</v>
      </c>
      <c r="GE2" s="215" t="str">
        <f>AND(#REF!,"AAAAAH/vf7o=")</f>
        <v>#REF!</v>
      </c>
      <c r="GF2" s="215" t="str">
        <f>AND(#REF!,"AAAAAH/vf7s=")</f>
        <v>#REF!</v>
      </c>
      <c r="GG2" s="215" t="str">
        <f>AND(#REF!,"AAAAAH/vf7w=")</f>
        <v>#REF!</v>
      </c>
      <c r="GH2" s="215" t="str">
        <f>AND(#REF!,"AAAAAH/vf70=")</f>
        <v>#REF!</v>
      </c>
      <c r="GI2" s="215" t="str">
        <f>AND(#REF!,"AAAAAH/vf74=")</f>
        <v>#REF!</v>
      </c>
      <c r="GJ2" s="215" t="str">
        <f>AND(#REF!,"AAAAAH/vf78=")</f>
        <v>#REF!</v>
      </c>
      <c r="GK2" s="215" t="str">
        <f>IF(#REF!,"AAAAAH/vf8A=",0)</f>
        <v>#REF!</v>
      </c>
      <c r="GL2" s="215" t="str">
        <f>AND(#REF!,"AAAAAH/vf8E=")</f>
        <v>#REF!</v>
      </c>
      <c r="GM2" s="215" t="str">
        <f>AND(#REF!,"AAAAAH/vf8I=")</f>
        <v>#REF!</v>
      </c>
      <c r="GN2" s="215" t="str">
        <f>AND(#REF!,"AAAAAH/vf8M=")</f>
        <v>#REF!</v>
      </c>
      <c r="GO2" s="215" t="str">
        <f>AND(#REF!,"AAAAAH/vf8Q=")</f>
        <v>#REF!</v>
      </c>
      <c r="GP2" s="215" t="str">
        <f>AND(#REF!,"AAAAAH/vf8U=")</f>
        <v>#REF!</v>
      </c>
      <c r="GQ2" s="215" t="str">
        <f>AND(#REF!,"AAAAAH/vf8Y=")</f>
        <v>#REF!</v>
      </c>
      <c r="GR2" s="215" t="str">
        <f>IF(#REF!,"AAAAAH/vf8c=",0)</f>
        <v>#REF!</v>
      </c>
      <c r="GS2" s="215" t="str">
        <f>AND(#REF!,"AAAAAH/vf8g=")</f>
        <v>#REF!</v>
      </c>
      <c r="GT2" s="215" t="str">
        <f>AND(#REF!,"AAAAAH/vf8k=")</f>
        <v>#REF!</v>
      </c>
      <c r="GU2" s="215" t="str">
        <f>AND(#REF!,"AAAAAH/vf8o=")</f>
        <v>#REF!</v>
      </c>
      <c r="GV2" s="215" t="str">
        <f>AND(#REF!,"AAAAAH/vf8s=")</f>
        <v>#REF!</v>
      </c>
      <c r="GW2" s="215" t="str">
        <f>AND(#REF!,"AAAAAH/vf8w=")</f>
        <v>#REF!</v>
      </c>
      <c r="GX2" s="215" t="str">
        <f>AND(#REF!,"AAAAAH/vf80=")</f>
        <v>#REF!</v>
      </c>
      <c r="GY2" s="215" t="str">
        <f>IF(#REF!,"AAAAAH/vf84=",0)</f>
        <v>#REF!</v>
      </c>
      <c r="GZ2" s="215" t="str">
        <f>AND(#REF!,"AAAAAH/vf88=")</f>
        <v>#REF!</v>
      </c>
      <c r="HA2" s="215" t="str">
        <f>AND(#REF!,"AAAAAH/vf9A=")</f>
        <v>#REF!</v>
      </c>
      <c r="HB2" s="215" t="str">
        <f>AND(#REF!,"AAAAAH/vf9E=")</f>
        <v>#REF!</v>
      </c>
      <c r="HC2" s="215" t="str">
        <f>AND(#REF!,"AAAAAH/vf9I=")</f>
        <v>#REF!</v>
      </c>
      <c r="HD2" s="215" t="str">
        <f>AND(#REF!,"AAAAAH/vf9M=")</f>
        <v>#REF!</v>
      </c>
      <c r="HE2" s="215" t="str">
        <f>AND(#REF!,"AAAAAH/vf9Q=")</f>
        <v>#REF!</v>
      </c>
      <c r="HF2" s="215" t="str">
        <f>IF(#REF!,"AAAAAH/vf9U=",0)</f>
        <v>#REF!</v>
      </c>
      <c r="HG2" s="215" t="str">
        <f>AND(#REF!,"AAAAAH/vf9Y=")</f>
        <v>#REF!</v>
      </c>
      <c r="HH2" s="215" t="str">
        <f>AND(#REF!,"AAAAAH/vf9c=")</f>
        <v>#REF!</v>
      </c>
      <c r="HI2" s="215" t="str">
        <f>AND(#REF!,"AAAAAH/vf9g=")</f>
        <v>#REF!</v>
      </c>
      <c r="HJ2" s="215" t="str">
        <f>AND(#REF!,"AAAAAH/vf9k=")</f>
        <v>#REF!</v>
      </c>
      <c r="HK2" s="215" t="str">
        <f>AND(#REF!,"AAAAAH/vf9o=")</f>
        <v>#REF!</v>
      </c>
      <c r="HL2" s="215" t="str">
        <f>AND(#REF!,"AAAAAH/vf9s=")</f>
        <v>#REF!</v>
      </c>
      <c r="HM2" s="215" t="str">
        <f>IF(#REF!,"AAAAAH/vf9w=",0)</f>
        <v>#REF!</v>
      </c>
      <c r="HN2" s="215" t="str">
        <f>AND(#REF!,"AAAAAH/vf90=")</f>
        <v>#REF!</v>
      </c>
      <c r="HO2" s="215" t="str">
        <f>AND(#REF!,"AAAAAH/vf94=")</f>
        <v>#REF!</v>
      </c>
      <c r="HP2" s="215" t="str">
        <f>AND(#REF!,"AAAAAH/vf98=")</f>
        <v>#REF!</v>
      </c>
      <c r="HQ2" s="215" t="str">
        <f>AND(#REF!,"AAAAAH/vf+A=")</f>
        <v>#REF!</v>
      </c>
      <c r="HR2" s="215" t="str">
        <f>AND(#REF!,"AAAAAH/vf+E=")</f>
        <v>#REF!</v>
      </c>
      <c r="HS2" s="215" t="str">
        <f>AND(#REF!,"AAAAAH/vf+I=")</f>
        <v>#REF!</v>
      </c>
      <c r="HT2" s="215" t="str">
        <f>IF(#REF!,"AAAAAH/vf+M=",0)</f>
        <v>#REF!</v>
      </c>
      <c r="HU2" s="215" t="str">
        <f>AND(#REF!,"AAAAAH/vf+Q=")</f>
        <v>#REF!</v>
      </c>
      <c r="HV2" s="215" t="str">
        <f>AND(#REF!,"AAAAAH/vf+U=")</f>
        <v>#REF!</v>
      </c>
      <c r="HW2" s="215" t="str">
        <f>AND(#REF!,"AAAAAH/vf+Y=")</f>
        <v>#REF!</v>
      </c>
      <c r="HX2" s="215" t="str">
        <f>AND(#REF!,"AAAAAH/vf+c=")</f>
        <v>#REF!</v>
      </c>
      <c r="HY2" s="215" t="str">
        <f>AND(#REF!,"AAAAAH/vf+g=")</f>
        <v>#REF!</v>
      </c>
      <c r="HZ2" s="215" t="str">
        <f>AND(#REF!,"AAAAAH/vf+k=")</f>
        <v>#REF!</v>
      </c>
      <c r="IA2" s="215" t="str">
        <f>IF(#REF!,"AAAAAH/vf+o=",0)</f>
        <v>#REF!</v>
      </c>
      <c r="IB2" s="215" t="str">
        <f>AND(#REF!,"AAAAAH/vf+s=")</f>
        <v>#REF!</v>
      </c>
      <c r="IC2" s="215" t="str">
        <f>AND(#REF!,"AAAAAH/vf+w=")</f>
        <v>#REF!</v>
      </c>
      <c r="ID2" s="215" t="str">
        <f>AND(#REF!,"AAAAAH/vf+0=")</f>
        <v>#REF!</v>
      </c>
      <c r="IE2" s="215" t="str">
        <f>AND(#REF!,"AAAAAH/vf+4=")</f>
        <v>#REF!</v>
      </c>
      <c r="IF2" s="215" t="str">
        <f>AND(#REF!,"AAAAAH/vf+8=")</f>
        <v>#REF!</v>
      </c>
      <c r="IG2" s="215" t="str">
        <f>AND(#REF!,"AAAAAH/vf/A=")</f>
        <v>#REF!</v>
      </c>
      <c r="IH2" s="215" t="str">
        <f>IF(#REF!,"AAAAAH/vf/E=",0)</f>
        <v>#REF!</v>
      </c>
      <c r="II2" s="215" t="str">
        <f>AND(#REF!,"AAAAAH/vf/I=")</f>
        <v>#REF!</v>
      </c>
      <c r="IJ2" s="215" t="str">
        <f>AND(#REF!,"AAAAAH/vf/M=")</f>
        <v>#REF!</v>
      </c>
      <c r="IK2" s="215" t="str">
        <f>AND(#REF!,"AAAAAH/vf/Q=")</f>
        <v>#REF!</v>
      </c>
      <c r="IL2" s="215" t="str">
        <f>AND(#REF!,"AAAAAH/vf/U=")</f>
        <v>#REF!</v>
      </c>
      <c r="IM2" s="215" t="str">
        <f>AND(#REF!,"AAAAAH/vf/Y=")</f>
        <v>#REF!</v>
      </c>
      <c r="IN2" s="215" t="str">
        <f>AND(#REF!,"AAAAAH/vf/c=")</f>
        <v>#REF!</v>
      </c>
      <c r="IO2" s="215" t="str">
        <f>IF(#REF!,"AAAAAH/vf/g=",0)</f>
        <v>#REF!</v>
      </c>
      <c r="IP2" s="215" t="str">
        <f>AND(#REF!,"AAAAAH/vf/k=")</f>
        <v>#REF!</v>
      </c>
      <c r="IQ2" s="215" t="str">
        <f>AND(#REF!,"AAAAAH/vf/o=")</f>
        <v>#REF!</v>
      </c>
      <c r="IR2" s="215" t="str">
        <f>AND(#REF!,"AAAAAH/vf/s=")</f>
        <v>#REF!</v>
      </c>
      <c r="IS2" s="215" t="str">
        <f>AND(#REF!,"AAAAAH/vf/w=")</f>
        <v>#REF!</v>
      </c>
      <c r="IT2" s="215" t="str">
        <f>AND(#REF!,"AAAAAH/vf/0=")</f>
        <v>#REF!</v>
      </c>
      <c r="IU2" s="215" t="str">
        <f>AND(#REF!,"AAAAAH/vf/4=")</f>
        <v>#REF!</v>
      </c>
      <c r="IV2" s="215" t="str">
        <f>IF(#REF!,"AAAAAH/vf/8=",0)</f>
        <v>#REF!</v>
      </c>
    </row>
    <row r="3" ht="12.75" customHeight="1">
      <c r="A3" s="215" t="str">
        <f>AND(#REF!,"AAAAABPz/wA=")</f>
        <v>#REF!</v>
      </c>
      <c r="B3" s="215" t="str">
        <f>AND(#REF!,"AAAAABPz/wE=")</f>
        <v>#REF!</v>
      </c>
      <c r="C3" s="215" t="str">
        <f>AND(#REF!,"AAAAABPz/wI=")</f>
        <v>#REF!</v>
      </c>
      <c r="D3" s="215" t="str">
        <f>AND(#REF!,"AAAAABPz/wM=")</f>
        <v>#REF!</v>
      </c>
      <c r="E3" s="215" t="str">
        <f>AND(#REF!,"AAAAABPz/wQ=")</f>
        <v>#REF!</v>
      </c>
      <c r="F3" s="215" t="str">
        <f>AND(#REF!,"AAAAABPz/wU=")</f>
        <v>#REF!</v>
      </c>
      <c r="G3" s="215" t="str">
        <f>IF(#REF!,"AAAAABPz/wY=",0)</f>
        <v>#REF!</v>
      </c>
      <c r="H3" s="215" t="str">
        <f>AND(#REF!,"AAAAABPz/wc=")</f>
        <v>#REF!</v>
      </c>
      <c r="I3" s="215" t="str">
        <f>AND(#REF!,"AAAAABPz/wg=")</f>
        <v>#REF!</v>
      </c>
      <c r="J3" s="215" t="str">
        <f>AND(#REF!,"AAAAABPz/wk=")</f>
        <v>#REF!</v>
      </c>
      <c r="K3" s="215" t="str">
        <f>AND(#REF!,"AAAAABPz/wo=")</f>
        <v>#REF!</v>
      </c>
      <c r="L3" s="215" t="str">
        <f>AND(#REF!,"AAAAABPz/ws=")</f>
        <v>#REF!</v>
      </c>
      <c r="M3" s="215" t="str">
        <f>AND(#REF!,"AAAAABPz/ww=")</f>
        <v>#REF!</v>
      </c>
      <c r="N3" s="215" t="str">
        <f>IF(#REF!,"AAAAABPz/w0=",0)</f>
        <v>#REF!</v>
      </c>
      <c r="O3" s="215" t="str">
        <f>AND(#REF!,"AAAAABPz/w4=")</f>
        <v>#REF!</v>
      </c>
      <c r="P3" s="215" t="str">
        <f>AND(#REF!,"AAAAABPz/w8=")</f>
        <v>#REF!</v>
      </c>
      <c r="Q3" s="215" t="str">
        <f>AND(#REF!,"AAAAABPz/xA=")</f>
        <v>#REF!</v>
      </c>
      <c r="R3" s="215" t="str">
        <f>AND(#REF!,"AAAAABPz/xE=")</f>
        <v>#REF!</v>
      </c>
      <c r="S3" s="215" t="str">
        <f>AND(#REF!,"AAAAABPz/xI=")</f>
        <v>#REF!</v>
      </c>
      <c r="T3" s="215" t="str">
        <f>AND(#REF!,"AAAAABPz/xM=")</f>
        <v>#REF!</v>
      </c>
      <c r="U3" s="215" t="str">
        <f>IF(#REF!,"AAAAABPz/xQ=",0)</f>
        <v>#REF!</v>
      </c>
      <c r="V3" s="215" t="str">
        <f>AND(#REF!,"AAAAABPz/xU=")</f>
        <v>#REF!</v>
      </c>
      <c r="W3" s="215" t="str">
        <f>AND(#REF!,"AAAAABPz/xY=")</f>
        <v>#REF!</v>
      </c>
      <c r="X3" s="215" t="str">
        <f>AND(#REF!,"AAAAABPz/xc=")</f>
        <v>#REF!</v>
      </c>
      <c r="Y3" s="215" t="str">
        <f>AND(#REF!,"AAAAABPz/xg=")</f>
        <v>#REF!</v>
      </c>
      <c r="Z3" s="215" t="str">
        <f>AND(#REF!,"AAAAABPz/xk=")</f>
        <v>#REF!</v>
      </c>
      <c r="AA3" s="215" t="str">
        <f>AND(#REF!,"AAAAABPz/xo=")</f>
        <v>#REF!</v>
      </c>
      <c r="AB3" s="215" t="str">
        <f>IF(#REF!,"AAAAABPz/xs=",0)</f>
        <v>#REF!</v>
      </c>
      <c r="AC3" s="215" t="str">
        <f>AND(#REF!,"AAAAABPz/xw=")</f>
        <v>#REF!</v>
      </c>
      <c r="AD3" s="215" t="str">
        <f>AND(#REF!,"AAAAABPz/x0=")</f>
        <v>#REF!</v>
      </c>
      <c r="AE3" s="215" t="str">
        <f>AND(#REF!,"AAAAABPz/x4=")</f>
        <v>#REF!</v>
      </c>
      <c r="AF3" s="215" t="str">
        <f>AND(#REF!,"AAAAABPz/x8=")</f>
        <v>#REF!</v>
      </c>
      <c r="AG3" s="215" t="str">
        <f>AND(#REF!,"AAAAABPz/yA=")</f>
        <v>#REF!</v>
      </c>
      <c r="AH3" s="215" t="str">
        <f>AND(#REF!,"AAAAABPz/yE=")</f>
        <v>#REF!</v>
      </c>
      <c r="AI3" s="215" t="str">
        <f>IF(#REF!,"AAAAABPz/yI=",0)</f>
        <v>#REF!</v>
      </c>
      <c r="AJ3" s="215" t="str">
        <f>AND(#REF!,"AAAAABPz/yM=")</f>
        <v>#REF!</v>
      </c>
      <c r="AK3" s="215" t="str">
        <f>AND(#REF!,"AAAAABPz/yQ=")</f>
        <v>#REF!</v>
      </c>
      <c r="AL3" s="215" t="str">
        <f>AND(#REF!,"AAAAABPz/yU=")</f>
        <v>#REF!</v>
      </c>
      <c r="AM3" s="215" t="str">
        <f>AND(#REF!,"AAAAABPz/yY=")</f>
        <v>#REF!</v>
      </c>
      <c r="AN3" s="215" t="str">
        <f>AND(#REF!,"AAAAABPz/yc=")</f>
        <v>#REF!</v>
      </c>
      <c r="AO3" s="215" t="str">
        <f>AND(#REF!,"AAAAABPz/yg=")</f>
        <v>#REF!</v>
      </c>
      <c r="AP3" s="215" t="str">
        <f>IF(#REF!,"AAAAABPz/yk=",0)</f>
        <v>#REF!</v>
      </c>
      <c r="AQ3" s="215" t="str">
        <f>AND(#REF!,"AAAAABPz/yo=")</f>
        <v>#REF!</v>
      </c>
      <c r="AR3" s="215" t="str">
        <f>AND(#REF!,"AAAAABPz/ys=")</f>
        <v>#REF!</v>
      </c>
      <c r="AS3" s="215" t="str">
        <f>AND(#REF!,"AAAAABPz/yw=")</f>
        <v>#REF!</v>
      </c>
      <c r="AT3" s="215" t="str">
        <f>AND(#REF!,"AAAAABPz/y0=")</f>
        <v>#REF!</v>
      </c>
      <c r="AU3" s="215" t="str">
        <f>AND(#REF!,"AAAAABPz/y4=")</f>
        <v>#REF!</v>
      </c>
      <c r="AV3" s="215" t="str">
        <f>AND(#REF!,"AAAAABPz/y8=")</f>
        <v>#REF!</v>
      </c>
      <c r="AW3" s="215" t="str">
        <f>IF(#REF!,"AAAAABPz/zA=",0)</f>
        <v>#REF!</v>
      </c>
      <c r="AX3" s="215" t="str">
        <f>AND(#REF!,"AAAAABPz/zE=")</f>
        <v>#REF!</v>
      </c>
      <c r="AY3" s="215" t="str">
        <f>AND(#REF!,"AAAAABPz/zI=")</f>
        <v>#REF!</v>
      </c>
      <c r="AZ3" s="215" t="str">
        <f>AND(#REF!,"AAAAABPz/zM=")</f>
        <v>#REF!</v>
      </c>
      <c r="BA3" s="215" t="str">
        <f>AND(#REF!,"AAAAABPz/zQ=")</f>
        <v>#REF!</v>
      </c>
      <c r="BB3" s="215" t="str">
        <f>AND(#REF!,"AAAAABPz/zU=")</f>
        <v>#REF!</v>
      </c>
      <c r="BC3" s="215" t="str">
        <f>AND(#REF!,"AAAAABPz/zY=")</f>
        <v>#REF!</v>
      </c>
      <c r="BD3" s="215" t="str">
        <f>IF(#REF!,"AAAAABPz/zc=",0)</f>
        <v>#REF!</v>
      </c>
      <c r="BE3" s="215" t="str">
        <f>AND(#REF!,"AAAAABPz/zg=")</f>
        <v>#REF!</v>
      </c>
      <c r="BF3" s="215" t="str">
        <f>AND(#REF!,"AAAAABPz/zk=")</f>
        <v>#REF!</v>
      </c>
      <c r="BG3" s="215" t="str">
        <f>AND(#REF!,"AAAAABPz/zo=")</f>
        <v>#REF!</v>
      </c>
      <c r="BH3" s="215" t="str">
        <f>AND(#REF!,"AAAAABPz/zs=")</f>
        <v>#REF!</v>
      </c>
      <c r="BI3" s="215" t="str">
        <f>AND(#REF!,"AAAAABPz/zw=")</f>
        <v>#REF!</v>
      </c>
      <c r="BJ3" s="215" t="str">
        <f>AND(#REF!,"AAAAABPz/z0=")</f>
        <v>#REF!</v>
      </c>
      <c r="BK3" s="215" t="str">
        <f>IF(#REF!,"AAAAABPz/z4=",0)</f>
        <v>#REF!</v>
      </c>
      <c r="BL3" s="215" t="str">
        <f>AND(#REF!,"AAAAABPz/z8=")</f>
        <v>#REF!</v>
      </c>
      <c r="BM3" s="215" t="str">
        <f>AND(#REF!,"AAAAABPz/0A=")</f>
        <v>#REF!</v>
      </c>
      <c r="BN3" s="215" t="str">
        <f>AND(#REF!,"AAAAABPz/0E=")</f>
        <v>#REF!</v>
      </c>
      <c r="BO3" s="215" t="str">
        <f>AND(#REF!,"AAAAABPz/0I=")</f>
        <v>#REF!</v>
      </c>
      <c r="BP3" s="215" t="str">
        <f>AND(#REF!,"AAAAABPz/0M=")</f>
        <v>#REF!</v>
      </c>
      <c r="BQ3" s="215" t="str">
        <f>AND(#REF!,"AAAAABPz/0Q=")</f>
        <v>#REF!</v>
      </c>
      <c r="BR3" s="215" t="str">
        <f>IF(#REF!,"AAAAABPz/0U=",0)</f>
        <v>#REF!</v>
      </c>
      <c r="BS3" s="215" t="str">
        <f>AND(#REF!,"AAAAABPz/0Y=")</f>
        <v>#REF!</v>
      </c>
      <c r="BT3" s="215" t="str">
        <f>AND(#REF!,"AAAAABPz/0c=")</f>
        <v>#REF!</v>
      </c>
      <c r="BU3" s="215" t="str">
        <f>AND(#REF!,"AAAAABPz/0g=")</f>
        <v>#REF!</v>
      </c>
      <c r="BV3" s="215" t="str">
        <f>AND(#REF!,"AAAAABPz/0k=")</f>
        <v>#REF!</v>
      </c>
      <c r="BW3" s="215" t="str">
        <f>AND(#REF!,"AAAAABPz/0o=")</f>
        <v>#REF!</v>
      </c>
      <c r="BX3" s="215" t="str">
        <f>AND(#REF!,"AAAAABPz/0s=")</f>
        <v>#REF!</v>
      </c>
      <c r="BY3" s="215" t="str">
        <f>IF(#REF!,"AAAAABPz/0w=",0)</f>
        <v>#REF!</v>
      </c>
      <c r="BZ3" s="215" t="str">
        <f>AND(#REF!,"AAAAABPz/00=")</f>
        <v>#REF!</v>
      </c>
      <c r="CA3" s="215" t="str">
        <f>AND(#REF!,"AAAAABPz/04=")</f>
        <v>#REF!</v>
      </c>
      <c r="CB3" s="215" t="str">
        <f>AND(#REF!,"AAAAABPz/08=")</f>
        <v>#REF!</v>
      </c>
      <c r="CC3" s="215" t="str">
        <f>AND(#REF!,"AAAAABPz/1A=")</f>
        <v>#REF!</v>
      </c>
      <c r="CD3" s="215" t="str">
        <f>AND(#REF!,"AAAAABPz/1E=")</f>
        <v>#REF!</v>
      </c>
      <c r="CE3" s="215" t="str">
        <f>AND(#REF!,"AAAAABPz/1I=")</f>
        <v>#REF!</v>
      </c>
      <c r="CF3" s="215" t="str">
        <f>IF(#REF!,"AAAAABPz/1M=",0)</f>
        <v>#REF!</v>
      </c>
      <c r="CG3" s="215" t="str">
        <f>AND(#REF!,"AAAAABPz/1Q=")</f>
        <v>#REF!</v>
      </c>
      <c r="CH3" s="215" t="str">
        <f>AND(#REF!,"AAAAABPz/1U=")</f>
        <v>#REF!</v>
      </c>
      <c r="CI3" s="215" t="str">
        <f>AND(#REF!,"AAAAABPz/1Y=")</f>
        <v>#REF!</v>
      </c>
      <c r="CJ3" s="215" t="str">
        <f>AND(#REF!,"AAAAABPz/1c=")</f>
        <v>#REF!</v>
      </c>
      <c r="CK3" s="215" t="str">
        <f>AND(#REF!,"AAAAABPz/1g=")</f>
        <v>#REF!</v>
      </c>
      <c r="CL3" s="215" t="str">
        <f>AND(#REF!,"AAAAABPz/1k=")</f>
        <v>#REF!</v>
      </c>
      <c r="CM3" s="215" t="str">
        <f>IF(#REF!,"AAAAABPz/1o=",0)</f>
        <v>#REF!</v>
      </c>
      <c r="CN3" s="215" t="str">
        <f>AND(#REF!,"AAAAABPz/1s=")</f>
        <v>#REF!</v>
      </c>
      <c r="CO3" s="215" t="str">
        <f>AND(#REF!,"AAAAABPz/1w=")</f>
        <v>#REF!</v>
      </c>
      <c r="CP3" s="215" t="str">
        <f>AND(#REF!,"AAAAABPz/10=")</f>
        <v>#REF!</v>
      </c>
      <c r="CQ3" s="215" t="str">
        <f>AND(#REF!,"AAAAABPz/14=")</f>
        <v>#REF!</v>
      </c>
      <c r="CR3" s="215" t="str">
        <f>AND(#REF!,"AAAAABPz/18=")</f>
        <v>#REF!</v>
      </c>
      <c r="CS3" s="215" t="str">
        <f>AND(#REF!,"AAAAABPz/2A=")</f>
        <v>#REF!</v>
      </c>
      <c r="CT3" s="215" t="str">
        <f>IF(#REF!,"AAAAABPz/2E=",0)</f>
        <v>#REF!</v>
      </c>
      <c r="CU3" s="215" t="str">
        <f>AND(#REF!,"AAAAABPz/2I=")</f>
        <v>#REF!</v>
      </c>
      <c r="CV3" s="215" t="str">
        <f>AND(#REF!,"AAAAABPz/2M=")</f>
        <v>#REF!</v>
      </c>
      <c r="CW3" s="215" t="str">
        <f>AND(#REF!,"AAAAABPz/2Q=")</f>
        <v>#REF!</v>
      </c>
      <c r="CX3" s="215" t="str">
        <f>AND(#REF!,"AAAAABPz/2U=")</f>
        <v>#REF!</v>
      </c>
      <c r="CY3" s="215" t="str">
        <f>AND(#REF!,"AAAAABPz/2Y=")</f>
        <v>#REF!</v>
      </c>
      <c r="CZ3" s="215" t="str">
        <f>AND(#REF!,"AAAAABPz/2c=")</f>
        <v>#REF!</v>
      </c>
      <c r="DA3" s="215" t="str">
        <f>IF(#REF!,"AAAAABPz/2g=",0)</f>
        <v>#REF!</v>
      </c>
      <c r="DB3" s="215" t="str">
        <f>AND(#REF!,"AAAAABPz/2k=")</f>
        <v>#REF!</v>
      </c>
      <c r="DC3" s="215" t="str">
        <f>AND(#REF!,"AAAAABPz/2o=")</f>
        <v>#REF!</v>
      </c>
      <c r="DD3" s="215" t="str">
        <f>AND(#REF!,"AAAAABPz/2s=")</f>
        <v>#REF!</v>
      </c>
      <c r="DE3" s="215" t="str">
        <f>AND(#REF!,"AAAAABPz/2w=")</f>
        <v>#REF!</v>
      </c>
      <c r="DF3" s="215" t="str">
        <f>AND(#REF!,"AAAAABPz/20=")</f>
        <v>#REF!</v>
      </c>
      <c r="DG3" s="215" t="str">
        <f>AND(#REF!,"AAAAABPz/24=")</f>
        <v>#REF!</v>
      </c>
      <c r="DH3" s="215" t="str">
        <f>IF(#REF!,"AAAAABPz/28=",0)</f>
        <v>#REF!</v>
      </c>
      <c r="DI3" s="215" t="str">
        <f>AND(#REF!,"AAAAABPz/3A=")</f>
        <v>#REF!</v>
      </c>
      <c r="DJ3" s="215" t="str">
        <f>AND(#REF!,"AAAAABPz/3E=")</f>
        <v>#REF!</v>
      </c>
      <c r="DK3" s="215" t="str">
        <f>AND(#REF!,"AAAAABPz/3I=")</f>
        <v>#REF!</v>
      </c>
      <c r="DL3" s="215" t="str">
        <f>AND(#REF!,"AAAAABPz/3M=")</f>
        <v>#REF!</v>
      </c>
      <c r="DM3" s="215" t="str">
        <f>AND(#REF!,"AAAAABPz/3Q=")</f>
        <v>#REF!</v>
      </c>
      <c r="DN3" s="215" t="str">
        <f>AND(#REF!,"AAAAABPz/3U=")</f>
        <v>#REF!</v>
      </c>
      <c r="DO3" s="215" t="str">
        <f>IF(#REF!,"AAAAABPz/3Y=",0)</f>
        <v>#REF!</v>
      </c>
      <c r="DP3" s="215" t="str">
        <f>AND(#REF!,"AAAAABPz/3c=")</f>
        <v>#REF!</v>
      </c>
      <c r="DQ3" s="215" t="str">
        <f>AND(#REF!,"AAAAABPz/3g=")</f>
        <v>#REF!</v>
      </c>
      <c r="DR3" s="215" t="str">
        <f>AND(#REF!,"AAAAABPz/3k=")</f>
        <v>#REF!</v>
      </c>
      <c r="DS3" s="215" t="str">
        <f>AND(#REF!,"AAAAABPz/3o=")</f>
        <v>#REF!</v>
      </c>
      <c r="DT3" s="215" t="str">
        <f>AND(#REF!,"AAAAABPz/3s=")</f>
        <v>#REF!</v>
      </c>
      <c r="DU3" s="215" t="str">
        <f>IF(#REF!,"AAAAABPz/3w=",0)</f>
        <v>#REF!</v>
      </c>
      <c r="DV3" s="215" t="str">
        <f>IF(#REF!,"AAAAABPz/30=",0)</f>
        <v>#REF!</v>
      </c>
      <c r="DW3" s="215" t="str">
        <f>IF(#REF!,"AAAAABPz/34=",0)</f>
        <v>#REF!</v>
      </c>
      <c r="DX3" s="215" t="str">
        <f>IF(#REF!,"AAAAABPz/38=",0)</f>
        <v>#REF!</v>
      </c>
      <c r="DY3" s="215" t="str">
        <f>IF(#REF!,"AAAAABPz/4A=",0)</f>
        <v>#REF!</v>
      </c>
      <c r="DZ3" s="215" t="str">
        <f>IF(#REF!,"AAAAABPz/4E=",0)</f>
        <v>#REF!</v>
      </c>
      <c r="EA3" s="215" t="str">
        <f>IF(#REF!,"AAAAABPz/4I=",0)</f>
        <v>#REF!</v>
      </c>
      <c r="EB3" s="215" t="str">
        <f>IF('Author and Rec of Changes'!1:1,"AAAAABPz/4M=",0)</f>
        <v>#VALUE!</v>
      </c>
      <c r="EC3" s="215" t="str">
        <f>AND('Author and Rec of Changes'!A1,"AAAAABPz/4Q=")</f>
        <v>#VALUE!</v>
      </c>
      <c r="ED3" s="215" t="str">
        <f>AND('Author and Rec of Changes'!B1,"AAAAABPz/4U=")</f>
        <v>#VALUE!</v>
      </c>
      <c r="EE3" s="215" t="str">
        <f>AND('Author and Rec of Changes'!C1,"AAAAABPz/4Y=")</f>
        <v>#VALUE!</v>
      </c>
      <c r="EF3" s="215" t="str">
        <f>AND('Author and Rec of Changes'!E1,"AAAAABPz/4c=")</f>
        <v>#VALUE!</v>
      </c>
      <c r="EG3" s="215" t="str">
        <f>AND('Author and Rec of Changes'!F1,"AAAAABPz/4g=")</f>
        <v>#VALUE!</v>
      </c>
      <c r="EH3" s="215" t="str">
        <f>AND('Author and Rec of Changes'!G1,"AAAAABPz/4k=")</f>
        <v>#VALUE!</v>
      </c>
      <c r="EI3" s="215" t="str">
        <f>IF('Author and Rec of Changes'!#REF!,"AAAAABPz/4o=",0)</f>
        <v>#ERROR!</v>
      </c>
      <c r="EJ3" s="215" t="str">
        <f>AND('Author and Rec of Changes'!#REF!,"AAAAABPz/4s=")</f>
        <v>#ERROR!</v>
      </c>
      <c r="EK3" s="215" t="str">
        <f>AND('Author and Rec of Changes'!#REF!,"AAAAABPz/4w=")</f>
        <v>#ERROR!</v>
      </c>
      <c r="EL3" s="215" t="str">
        <f>AND('Author and Rec of Changes'!#REF!,"AAAAABPz/40=")</f>
        <v>#ERROR!</v>
      </c>
      <c r="EM3" s="215" t="str">
        <f>AND('Author and Rec of Changes'!#REF!,"AAAAABPz/44=")</f>
        <v>#ERROR!</v>
      </c>
      <c r="EN3" s="215" t="str">
        <f>AND('Author and Rec of Changes'!#REF!,"AAAAABPz/48=")</f>
        <v>#ERROR!</v>
      </c>
      <c r="EO3" s="215" t="str">
        <f>AND('Author and Rec of Changes'!#REF!,"AAAAABPz/5A=")</f>
        <v>#ERROR!</v>
      </c>
      <c r="EP3" s="215" t="str">
        <f>IF('Author and Rec of Changes'!2:2,"AAAAABPz/5E=",0)</f>
        <v>#VALUE!</v>
      </c>
      <c r="EQ3" s="215" t="str">
        <f>AND('Author and Rec of Changes'!A2,"AAAAABPz/5I=")</f>
        <v>#VALUE!</v>
      </c>
      <c r="ER3" s="215" t="str">
        <f>AND('Author and Rec of Changes'!B2,"AAAAABPz/5M=")</f>
        <v>#VALUE!</v>
      </c>
      <c r="ES3" s="215" t="str">
        <f>AND('Author and Rec of Changes'!C2,"AAAAABPz/5Q=")</f>
        <v>#VALUE!</v>
      </c>
      <c r="ET3" s="215" t="str">
        <f>AND('Author and Rec of Changes'!E2,"AAAAABPz/5U=")</f>
        <v>#VALUE!</v>
      </c>
      <c r="EU3" s="215" t="str">
        <f>AND('Author and Rec of Changes'!F2,"AAAAABPz/5Y=")</f>
        <v>#VALUE!</v>
      </c>
      <c r="EV3" s="215" t="str">
        <f>AND('Author and Rec of Changes'!G2,"AAAAABPz/5c=")</f>
        <v>#VALUE!</v>
      </c>
      <c r="EW3" s="215" t="str">
        <f>IF('Author and Rec of Changes'!3:3,"AAAAABPz/5g=",0)</f>
        <v>#VALUE!</v>
      </c>
      <c r="EX3" s="215" t="str">
        <f>AND('Author and Rec of Changes'!A3,"AAAAABPz/5k=")</f>
        <v>#VALUE!</v>
      </c>
      <c r="EY3" s="215" t="str">
        <f>AND('Author and Rec of Changes'!B3,"AAAAABPz/5o=")</f>
        <v>#VALUE!</v>
      </c>
      <c r="EZ3" s="215" t="str">
        <f>AND('Author and Rec of Changes'!C3,"AAAAABPz/5s=")</f>
        <v>#VALUE!</v>
      </c>
      <c r="FA3" s="215" t="str">
        <f>AND('Author and Rec of Changes'!E3,"AAAAABPz/5w=")</f>
        <v>#VALUE!</v>
      </c>
      <c r="FB3" s="215" t="str">
        <f>AND('Author and Rec of Changes'!F3,"AAAAABPz/50=")</f>
        <v>#VALUE!</v>
      </c>
      <c r="FC3" s="215" t="str">
        <f>AND('Author and Rec of Changes'!G3,"AAAAABPz/54=")</f>
        <v>#VALUE!</v>
      </c>
      <c r="FD3" s="215" t="str">
        <f>IF('Author and Rec of Changes'!#REF!,"AAAAABPz/58=",0)</f>
        <v>#ERROR!</v>
      </c>
      <c r="FE3" s="215" t="str">
        <f>AND('Author and Rec of Changes'!#REF!,"AAAAABPz/6A=")</f>
        <v>#ERROR!</v>
      </c>
      <c r="FF3" s="215" t="str">
        <f>AND('Author and Rec of Changes'!#REF!,"AAAAABPz/6E=")</f>
        <v>#ERROR!</v>
      </c>
      <c r="FG3" s="215" t="str">
        <f>AND('Author and Rec of Changes'!#REF!,"AAAAABPz/6I=")</f>
        <v>#ERROR!</v>
      </c>
      <c r="FH3" s="215" t="str">
        <f>AND('Author and Rec of Changes'!#REF!,"AAAAABPz/6M=")</f>
        <v>#ERROR!</v>
      </c>
      <c r="FI3" s="215" t="str">
        <f>AND('Author and Rec of Changes'!#REF!,"AAAAABPz/6Q=")</f>
        <v>#ERROR!</v>
      </c>
      <c r="FJ3" s="215" t="str">
        <f>AND('Author and Rec of Changes'!#REF!,"AAAAABPz/6U=")</f>
        <v>#ERROR!</v>
      </c>
      <c r="FK3" s="215" t="str">
        <f>IF('Author and Rec of Changes'!#REF!,"AAAAABPz/6Y=",0)</f>
        <v>#ERROR!</v>
      </c>
      <c r="FL3" s="215" t="str">
        <f>AND('Author and Rec of Changes'!#REF!,"AAAAABPz/6c=")</f>
        <v>#ERROR!</v>
      </c>
      <c r="FM3" s="215" t="str">
        <f>AND('Author and Rec of Changes'!#REF!,"AAAAABPz/6g=")</f>
        <v>#ERROR!</v>
      </c>
      <c r="FN3" s="215" t="str">
        <f>AND('Author and Rec of Changes'!#REF!,"AAAAABPz/6k=")</f>
        <v>#ERROR!</v>
      </c>
      <c r="FO3" s="215" t="str">
        <f>AND('Author and Rec of Changes'!#REF!,"AAAAABPz/6o=")</f>
        <v>#ERROR!</v>
      </c>
      <c r="FP3" s="215" t="str">
        <f>AND('Author and Rec of Changes'!#REF!,"AAAAABPz/6s=")</f>
        <v>#ERROR!</v>
      </c>
      <c r="FQ3" s="215" t="str">
        <f>AND('Author and Rec of Changes'!#REF!,"AAAAABPz/6w=")</f>
        <v>#ERROR!</v>
      </c>
      <c r="FR3" s="215" t="str">
        <f>IF('Author and Rec of Changes'!4:4,"AAAAABPz/60=",0)</f>
        <v>#VALUE!</v>
      </c>
      <c r="FS3" s="215" t="str">
        <f>AND('Author and Rec of Changes'!A4,"AAAAABPz/64=")</f>
        <v>#VALUE!</v>
      </c>
      <c r="FT3" s="215" t="str">
        <f>AND('Author and Rec of Changes'!B4,"AAAAABPz/68=")</f>
        <v>#VALUE!</v>
      </c>
      <c r="FU3" s="215" t="str">
        <f>AND('Author and Rec of Changes'!C4,"AAAAABPz/7A=")</f>
        <v>#VALUE!</v>
      </c>
      <c r="FV3" s="215" t="str">
        <f>AND('Author and Rec of Changes'!E4,"AAAAABPz/7E=")</f>
        <v>#VALUE!</v>
      </c>
      <c r="FW3" s="215" t="str">
        <f>AND('Author and Rec of Changes'!F4,"AAAAABPz/7I=")</f>
        <v>#VALUE!</v>
      </c>
      <c r="FX3" s="215" t="str">
        <f>AND('Author and Rec of Changes'!G4,"AAAAABPz/7M=")</f>
        <v>#VALUE!</v>
      </c>
      <c r="FY3" s="215" t="str">
        <f>IF('Author and Rec of Changes'!#REF!,"AAAAABPz/7Q=",0)</f>
        <v>#ERROR!</v>
      </c>
      <c r="FZ3" s="215" t="str">
        <f>AND('Author and Rec of Changes'!#REF!,"AAAAABPz/7U=")</f>
        <v>#ERROR!</v>
      </c>
      <c r="GA3" s="215" t="str">
        <f>AND('Author and Rec of Changes'!#REF!,"AAAAABPz/7Y=")</f>
        <v>#ERROR!</v>
      </c>
      <c r="GB3" s="215" t="str">
        <f>AND('Author and Rec of Changes'!#REF!,"AAAAABPz/7c=")</f>
        <v>#ERROR!</v>
      </c>
      <c r="GC3" s="215" t="str">
        <f>AND('Author and Rec of Changes'!#REF!,"AAAAABPz/7g=")</f>
        <v>#ERROR!</v>
      </c>
      <c r="GD3" s="215" t="str">
        <f>AND('Author and Rec of Changes'!#REF!,"AAAAABPz/7k=")</f>
        <v>#ERROR!</v>
      </c>
      <c r="GE3" s="215" t="str">
        <f>AND('Author and Rec of Changes'!#REF!,"AAAAABPz/7o=")</f>
        <v>#ERROR!</v>
      </c>
      <c r="GF3" s="215" t="str">
        <f>IF('Author and Rec of Changes'!#REF!,"AAAAABPz/7s=",0)</f>
        <v>#ERROR!</v>
      </c>
      <c r="GG3" s="215" t="str">
        <f>AND('Author and Rec of Changes'!#REF!,"AAAAABPz/7w=")</f>
        <v>#ERROR!</v>
      </c>
      <c r="GH3" s="215" t="str">
        <f>AND('Author and Rec of Changes'!#REF!,"AAAAABPz/70=")</f>
        <v>#ERROR!</v>
      </c>
      <c r="GI3" s="215" t="str">
        <f>AND('Author and Rec of Changes'!#REF!,"AAAAABPz/74=")</f>
        <v>#ERROR!</v>
      </c>
      <c r="GJ3" s="215" t="str">
        <f>AND('Author and Rec of Changes'!#REF!,"AAAAABPz/78=")</f>
        <v>#ERROR!</v>
      </c>
      <c r="GK3" s="215" t="str">
        <f>AND('Author and Rec of Changes'!#REF!,"AAAAABPz/8A=")</f>
        <v>#ERROR!</v>
      </c>
      <c r="GL3" s="215" t="str">
        <f>AND('Author and Rec of Changes'!#REF!,"AAAAABPz/8E=")</f>
        <v>#ERROR!</v>
      </c>
      <c r="GM3" s="215" t="str">
        <f>IF('Author and Rec of Changes'!#REF!,"AAAAABPz/8I=",0)</f>
        <v>#ERROR!</v>
      </c>
      <c r="GN3" s="215" t="str">
        <f>AND('Author and Rec of Changes'!#REF!,"AAAAABPz/8M=")</f>
        <v>#ERROR!</v>
      </c>
      <c r="GO3" s="215" t="str">
        <f>AND('Author and Rec of Changes'!#REF!,"AAAAABPz/8Q=")</f>
        <v>#ERROR!</v>
      </c>
      <c r="GP3" s="215" t="str">
        <f>AND('Author and Rec of Changes'!#REF!,"AAAAABPz/8U=")</f>
        <v>#ERROR!</v>
      </c>
      <c r="GQ3" s="215" t="str">
        <f>AND('Author and Rec of Changes'!#REF!,"AAAAABPz/8Y=")</f>
        <v>#ERROR!</v>
      </c>
      <c r="GR3" s="215" t="str">
        <f>AND('Author and Rec of Changes'!#REF!,"AAAAABPz/8c=")</f>
        <v>#ERROR!</v>
      </c>
      <c r="GS3" s="215" t="str">
        <f>AND('Author and Rec of Changes'!#REF!,"AAAAABPz/8g=")</f>
        <v>#ERROR!</v>
      </c>
      <c r="GT3" s="215" t="str">
        <f>IF('Author and Rec of Changes'!#REF!,"AAAAABPz/8k=",0)</f>
        <v>#ERROR!</v>
      </c>
      <c r="GU3" s="215" t="str">
        <f>AND('Author and Rec of Changes'!#REF!,"AAAAABPz/8o=")</f>
        <v>#ERROR!</v>
      </c>
      <c r="GV3" s="215" t="str">
        <f>AND('Author and Rec of Changes'!#REF!,"AAAAABPz/8s=")</f>
        <v>#ERROR!</v>
      </c>
      <c r="GW3" s="215" t="str">
        <f>AND('Author and Rec of Changes'!#REF!,"AAAAABPz/8w=")</f>
        <v>#ERROR!</v>
      </c>
      <c r="GX3" s="215" t="str">
        <f>AND('Author and Rec of Changes'!#REF!,"AAAAABPz/80=")</f>
        <v>#ERROR!</v>
      </c>
      <c r="GY3" s="215" t="str">
        <f>AND('Author and Rec of Changes'!#REF!,"AAAAABPz/84=")</f>
        <v>#ERROR!</v>
      </c>
      <c r="GZ3" s="215" t="str">
        <f>AND('Author and Rec of Changes'!#REF!,"AAAAABPz/88=")</f>
        <v>#ERROR!</v>
      </c>
      <c r="HA3" s="215" t="str">
        <f>IF('Author and Rec of Changes'!#REF!,"AAAAABPz/9A=",0)</f>
        <v>#ERROR!</v>
      </c>
      <c r="HB3" s="215" t="str">
        <f>AND('Author and Rec of Changes'!#REF!,"AAAAABPz/9E=")</f>
        <v>#ERROR!</v>
      </c>
      <c r="HC3" s="215" t="str">
        <f>AND('Author and Rec of Changes'!#REF!,"AAAAABPz/9I=")</f>
        <v>#ERROR!</v>
      </c>
      <c r="HD3" s="215" t="str">
        <f>AND('Author and Rec of Changes'!#REF!,"AAAAABPz/9M=")</f>
        <v>#ERROR!</v>
      </c>
      <c r="HE3" s="215" t="str">
        <f>AND('Author and Rec of Changes'!#REF!,"AAAAABPz/9Q=")</f>
        <v>#ERROR!</v>
      </c>
      <c r="HF3" s="215" t="str">
        <f>AND('Author and Rec of Changes'!#REF!,"AAAAABPz/9U=")</f>
        <v>#ERROR!</v>
      </c>
      <c r="HG3" s="215" t="str">
        <f>AND('Author and Rec of Changes'!#REF!,"AAAAABPz/9Y=")</f>
        <v>#ERROR!</v>
      </c>
      <c r="HH3" s="215" t="str">
        <f>IF('Author and Rec of Changes'!#REF!,"AAAAABPz/9c=",0)</f>
        <v>#ERROR!</v>
      </c>
      <c r="HI3" s="215" t="str">
        <f>AND('Author and Rec of Changes'!#REF!,"AAAAABPz/9g=")</f>
        <v>#ERROR!</v>
      </c>
      <c r="HJ3" s="215" t="str">
        <f>AND('Author and Rec of Changes'!#REF!,"AAAAABPz/9k=")</f>
        <v>#ERROR!</v>
      </c>
      <c r="HK3" s="215" t="str">
        <f>AND('Author and Rec of Changes'!#REF!,"AAAAABPz/9o=")</f>
        <v>#ERROR!</v>
      </c>
      <c r="HL3" s="215" t="str">
        <f>AND('Author and Rec of Changes'!#REF!,"AAAAABPz/9s=")</f>
        <v>#ERROR!</v>
      </c>
      <c r="HM3" s="215" t="str">
        <f>AND('Author and Rec of Changes'!#REF!,"AAAAABPz/9w=")</f>
        <v>#ERROR!</v>
      </c>
      <c r="HN3" s="215" t="str">
        <f>AND('Author and Rec of Changes'!#REF!,"AAAAABPz/90=")</f>
        <v>#ERROR!</v>
      </c>
      <c r="HO3" s="215" t="str">
        <f>IF('Author and Rec of Changes'!#REF!,"AAAAABPz/94=",0)</f>
        <v>#ERROR!</v>
      </c>
      <c r="HP3" s="215" t="str">
        <f>AND('Author and Rec of Changes'!#REF!,"AAAAABPz/98=")</f>
        <v>#ERROR!</v>
      </c>
      <c r="HQ3" s="215" t="str">
        <f>AND('Author and Rec of Changes'!#REF!,"AAAAABPz/+A=")</f>
        <v>#ERROR!</v>
      </c>
      <c r="HR3" s="215" t="str">
        <f>AND('Author and Rec of Changes'!#REF!,"AAAAABPz/+E=")</f>
        <v>#ERROR!</v>
      </c>
      <c r="HS3" s="215" t="str">
        <f>AND('Author and Rec of Changes'!#REF!,"AAAAABPz/+I=")</f>
        <v>#ERROR!</v>
      </c>
      <c r="HT3" s="215" t="str">
        <f>AND('Author and Rec of Changes'!#REF!,"AAAAABPz/+M=")</f>
        <v>#ERROR!</v>
      </c>
      <c r="HU3" s="215" t="str">
        <f>AND('Author and Rec of Changes'!#REF!,"AAAAABPz/+Q=")</f>
        <v>#ERROR!</v>
      </c>
      <c r="HV3" s="215" t="str">
        <f>IF('Author and Rec of Changes'!5:5,"AAAAABPz/+U=",0)</f>
        <v>#VALUE!</v>
      </c>
      <c r="HW3" s="215" t="str">
        <f>AND('Author and Rec of Changes'!A5,"AAAAABPz/+Y=")</f>
        <v>#VALUE!</v>
      </c>
      <c r="HX3" s="215" t="str">
        <f>AND('Author and Rec of Changes'!B5,"AAAAABPz/+c=")</f>
        <v>#VALUE!</v>
      </c>
      <c r="HY3" s="215" t="str">
        <f>AND('Author and Rec of Changes'!C5,"AAAAABPz/+g=")</f>
        <v>#VALUE!</v>
      </c>
      <c r="HZ3" s="215" t="str">
        <f>AND('Author and Rec of Changes'!E5,"AAAAABPz/+k=")</f>
        <v>#VALUE!</v>
      </c>
      <c r="IA3" s="215" t="str">
        <f>AND('Author and Rec of Changes'!F5,"AAAAABPz/+o=")</f>
        <v>#VALUE!</v>
      </c>
      <c r="IB3" s="215" t="str">
        <f>AND('Author and Rec of Changes'!G5,"AAAAABPz/+s=")</f>
        <v>#VALUE!</v>
      </c>
      <c r="IC3" s="215" t="str">
        <f>IF('Author and Rec of Changes'!#REF!,"AAAAABPz/+w=",0)</f>
        <v>#ERROR!</v>
      </c>
      <c r="ID3" s="215" t="str">
        <f>AND('Author and Rec of Changes'!#REF!,"AAAAABPz/+0=")</f>
        <v>#ERROR!</v>
      </c>
      <c r="IE3" s="215" t="str">
        <f>AND('Author and Rec of Changes'!#REF!,"AAAAABPz/+4=")</f>
        <v>#ERROR!</v>
      </c>
      <c r="IF3" s="215" t="str">
        <f>AND('Author and Rec of Changes'!#REF!,"AAAAABPz/+8=")</f>
        <v>#ERROR!</v>
      </c>
      <c r="IG3" s="215" t="str">
        <f>AND('Author and Rec of Changes'!#REF!,"AAAAABPz//A=")</f>
        <v>#ERROR!</v>
      </c>
      <c r="IH3" s="215" t="str">
        <f>AND('Author and Rec of Changes'!#REF!,"AAAAABPz//E=")</f>
        <v>#ERROR!</v>
      </c>
      <c r="II3" s="215" t="str">
        <f>AND('Author and Rec of Changes'!#REF!,"AAAAABPz//I=")</f>
        <v>#ERROR!</v>
      </c>
      <c r="IJ3" s="215" t="str">
        <f>IF('Author and Rec of Changes'!#REF!,"AAAAABPz//M=",0)</f>
        <v>#ERROR!</v>
      </c>
      <c r="IK3" s="215" t="str">
        <f>AND('Author and Rec of Changes'!#REF!,"AAAAABPz//Q=")</f>
        <v>#ERROR!</v>
      </c>
      <c r="IL3" s="215" t="str">
        <f>AND('Author and Rec of Changes'!#REF!,"AAAAABPz//U=")</f>
        <v>#ERROR!</v>
      </c>
      <c r="IM3" s="215" t="str">
        <f>AND('Author and Rec of Changes'!#REF!,"AAAAABPz//Y=")</f>
        <v>#ERROR!</v>
      </c>
      <c r="IN3" s="215" t="str">
        <f>AND('Author and Rec of Changes'!#REF!,"AAAAABPz//c=")</f>
        <v>#ERROR!</v>
      </c>
      <c r="IO3" s="215" t="str">
        <f>AND('Author and Rec of Changes'!#REF!,"AAAAABPz//g=")</f>
        <v>#ERROR!</v>
      </c>
      <c r="IP3" s="215" t="str">
        <f>AND('Author and Rec of Changes'!#REF!,"AAAAABPz//k=")</f>
        <v>#ERROR!</v>
      </c>
      <c r="IQ3" s="215" t="str">
        <f>IF('Author and Rec of Changes'!6:6,"AAAAABPz//o=",0)</f>
        <v>#VALUE!</v>
      </c>
      <c r="IR3" s="215" t="str">
        <f>AND('Author and Rec of Changes'!A6,"AAAAABPz//s=")</f>
        <v>#VALUE!</v>
      </c>
      <c r="IS3" s="215" t="str">
        <f>AND('Author and Rec of Changes'!B6,"AAAAABPz//w=")</f>
        <v>#VALUE!</v>
      </c>
      <c r="IT3" s="215" t="str">
        <f>AND('Author and Rec of Changes'!C6,"AAAAABPz//0=")</f>
        <v>#VALUE!</v>
      </c>
      <c r="IU3" s="215" t="str">
        <f>AND('Author and Rec of Changes'!E6,"AAAAABPz//4=")</f>
        <v>#VALUE!</v>
      </c>
      <c r="IV3" s="215" t="str">
        <f>AND('Author and Rec of Changes'!F6,"AAAAABPz//8=")</f>
        <v>#VALUE!</v>
      </c>
    </row>
    <row r="4" ht="15.0" customHeight="1">
      <c r="A4" s="215" t="str">
        <f>AND('Author and Rec of Changes'!G6,"AAAAAH/rVAA=")</f>
        <v>#VALUE!</v>
      </c>
      <c r="B4" s="215">
        <f>IF('Author and Rec of Changes'!7:7,"AAAAAH/rVAE=",0)</f>
        <v>0</v>
      </c>
      <c r="C4" s="215" t="str">
        <f>AND('Author and Rec of Changes'!A7,"AAAAAH/rVAI=")</f>
        <v>#VALUE!</v>
      </c>
      <c r="D4" s="215" t="str">
        <f>AND('Author and Rec of Changes'!B7,"AAAAAH/rVAM=")</f>
        <v>#VALUE!</v>
      </c>
      <c r="E4" s="215" t="str">
        <f>AND('Author and Rec of Changes'!C7,"AAAAAH/rVAQ=")</f>
        <v>#VALUE!</v>
      </c>
      <c r="F4" s="215" t="str">
        <f>AND('Author and Rec of Changes'!E7,"AAAAAH/rVAU=")</f>
        <v>#VALUE!</v>
      </c>
      <c r="G4" s="215" t="str">
        <f>AND('Author and Rec of Changes'!F7,"AAAAAH/rVAY=")</f>
        <v>#VALUE!</v>
      </c>
      <c r="H4" s="215" t="str">
        <f>AND('Author and Rec of Changes'!G7,"AAAAAH/rVAc=")</f>
        <v>#VALUE!</v>
      </c>
      <c r="I4" s="215">
        <f>IF('Author and Rec of Changes'!8:8,"AAAAAH/rVAg=",0)</f>
        <v>0</v>
      </c>
      <c r="J4" s="215" t="str">
        <f>AND('Author and Rec of Changes'!A8,"AAAAAH/rVAk=")</f>
        <v>#VALUE!</v>
      </c>
      <c r="K4" s="215" t="str">
        <f>AND('Author and Rec of Changes'!B8,"AAAAAH/rVAo=")</f>
        <v>#VALUE!</v>
      </c>
      <c r="L4" s="215" t="str">
        <f>AND('Author and Rec of Changes'!C8,"AAAAAH/rVAs=")</f>
        <v>#VALUE!</v>
      </c>
      <c r="M4" s="215" t="str">
        <f>AND('Author and Rec of Changes'!E8,"AAAAAH/rVAw=")</f>
        <v>#VALUE!</v>
      </c>
      <c r="N4" s="215" t="str">
        <f>AND('Author and Rec of Changes'!F8,"AAAAAH/rVA0=")</f>
        <v>#VALUE!</v>
      </c>
      <c r="O4" s="215" t="str">
        <f>AND('Author and Rec of Changes'!G8,"AAAAAH/rVA4=")</f>
        <v>#VALUE!</v>
      </c>
      <c r="P4" s="215">
        <f>IF('Author and Rec of Changes'!9:9,"AAAAAH/rVA8=",0)</f>
        <v>0</v>
      </c>
      <c r="Q4" s="215" t="str">
        <f>AND('Author and Rec of Changes'!A9,"AAAAAH/rVBA=")</f>
        <v>#VALUE!</v>
      </c>
      <c r="R4" s="215" t="str">
        <f>AND('Author and Rec of Changes'!B9,"AAAAAH/rVBE=")</f>
        <v>#VALUE!</v>
      </c>
      <c r="S4" s="215" t="str">
        <f>AND('Author and Rec of Changes'!C9,"AAAAAH/rVBI=")</f>
        <v>#VALUE!</v>
      </c>
      <c r="T4" s="215" t="str">
        <f>AND('Author and Rec of Changes'!E9,"AAAAAH/rVBM=")</f>
        <v>#VALUE!</v>
      </c>
      <c r="U4" s="215" t="str">
        <f>AND('Author and Rec of Changes'!F9,"AAAAAH/rVBQ=")</f>
        <v>#VALUE!</v>
      </c>
      <c r="V4" s="215" t="str">
        <f>AND('Author and Rec of Changes'!G9,"AAAAAH/rVBU=")</f>
        <v>#VALUE!</v>
      </c>
      <c r="W4" s="215">
        <f>IF('Author and Rec of Changes'!10:10,"AAAAAH/rVBY=",0)</f>
        <v>0</v>
      </c>
      <c r="X4" s="215">
        <f>IF('Author and Rec of Changes'!11:11,"AAAAAH/rVBc=",0)</f>
        <v>0</v>
      </c>
      <c r="Y4" s="215">
        <f>IF('Author and Rec of Changes'!12:12,"AAAAAH/rVBg=",0)</f>
        <v>0</v>
      </c>
      <c r="Z4" s="215">
        <f>IF('Author and Rec of Changes'!13:13,"AAAAAH/rVBk=",0)</f>
        <v>0</v>
      </c>
      <c r="AA4" s="215" t="str">
        <f>IF('Author and Rec of Changes'!14:14,"AAAAAH/rVBo=",0)</f>
        <v>#VALUE!</v>
      </c>
      <c r="AB4" s="215" t="str">
        <f>IF('Author and Rec of Changes'!15:15,"AAAAAH/rVBs=",0)</f>
        <v>#VALUE!</v>
      </c>
      <c r="AC4" s="215" t="str">
        <f>IF('Author and Rec of Changes'!16:16,"AAAAAH/rVBw=",0)</f>
        <v>#VALUE!</v>
      </c>
      <c r="AD4" s="215">
        <f>IF('Author and Rec of Changes'!A:A,"AAAAAH/rVB0=",0)</f>
        <v>0</v>
      </c>
      <c r="AE4" s="215" t="str">
        <f>IF('Author and Rec of Changes'!B:B,"AAAAAH/rVB4=",0)</f>
        <v>#VALUE!</v>
      </c>
      <c r="AF4" s="215">
        <f>IF('Author and Rec of Changes'!C:C,"AAAAAH/rVB8=",0)</f>
        <v>0</v>
      </c>
      <c r="AG4" s="215">
        <f>IF('Author and Rec of Changes'!E:E,"AAAAAH/rVCA=",0)</f>
        <v>0</v>
      </c>
      <c r="AH4" s="215">
        <f>IF('Author and Rec of Changes'!F:F,"AAAAAH/rVCE=",0)</f>
        <v>0</v>
      </c>
      <c r="AI4" s="215">
        <f>IF('Author and Rec of Changes'!G:G,"AAAAAH/rVCI=",0)</f>
        <v>0</v>
      </c>
      <c r="AJ4" s="215" t="s">
        <v>319</v>
      </c>
      <c r="AK4" s="216" t="s">
        <v>320</v>
      </c>
      <c r="AL4" s="217" t="s">
        <v>321</v>
      </c>
      <c r="AM4" s="215" t="str">
        <f>IF("N",[0]!_FilterDatabase,"AAAAAH/rVCY=")</f>
        <v>#ERROR!</v>
      </c>
    </row>
    <row r="5" ht="12.75" customHeight="1">
      <c r="A5" s="215" t="str">
        <f>AND(JavaSpring_Syllabus!A1,"AAAAACvx+wA=")</f>
        <v>#VALUE!</v>
      </c>
      <c r="B5" s="215" t="str">
        <f>IF(JavaSpring_Syllabus!#REF!,"AAAAACvx+wE=",0)</f>
        <v>#ERROR!</v>
      </c>
      <c r="C5" s="215" t="str">
        <f>AND(JavaSpring_Syllabus!#REF!,"AAAAACvx+wI=")</f>
        <v>#ERROR!</v>
      </c>
      <c r="D5" s="215" t="str">
        <f>AND(JavaSpring_Syllabus!#REF!,"AAAAACvx+wM=")</f>
        <v>#ERROR!</v>
      </c>
      <c r="E5" s="215" t="str">
        <f>AND(JavaSpring_Syllabus!#REF!,"AAAAACvx+wQ=")</f>
        <v>#ERROR!</v>
      </c>
      <c r="F5" s="215" t="str">
        <f>AND(JavaSpring_Syllabus!#REF!,"AAAAACvx+wU=")</f>
        <v>#ERROR!</v>
      </c>
      <c r="G5" s="215" t="str">
        <f>AND(JavaSpring_Syllabus!#REF!,"AAAAACvx+wY=")</f>
        <v>#ERROR!</v>
      </c>
      <c r="H5" s="215" t="str">
        <f>AND(JavaSpring_Syllabus!#REF!,"AAAAACvx+wc=")</f>
        <v>#ERROR!</v>
      </c>
      <c r="I5" s="215" t="str">
        <f>AND(JavaSpring_Syllabus!#REF!,"AAAAACvx+wg=")</f>
        <v>#ERROR!</v>
      </c>
      <c r="J5" s="215">
        <f>IF(JavaSpring_Syllabus!3:3,"AAAAACvx+wk=",0)</f>
        <v>0</v>
      </c>
      <c r="K5" s="215" t="str">
        <f>AND(JavaSpring_Syllabus!A3,"AAAAACvx+wo=")</f>
        <v>#VALUE!</v>
      </c>
      <c r="L5" s="215" t="str">
        <f>AND(JavaSpring_Syllabus!B3,"AAAAACvx+ws=")</f>
        <v>#VALUE!</v>
      </c>
      <c r="M5" s="215" t="str">
        <f>AND(JavaSpring_Syllabus!C3,"AAAAACvx+ww=")</f>
        <v>#VALUE!</v>
      </c>
      <c r="N5" s="215" t="str">
        <f>AND(JavaSpring_Syllabus!D3,"AAAAACvx+w0=")</f>
        <v>#VALUE!</v>
      </c>
      <c r="O5" s="215" t="str">
        <f>AND(JavaSpring_Syllabus!E3,"AAAAACvx+w4=")</f>
        <v>#VALUE!</v>
      </c>
      <c r="P5" s="215" t="str">
        <f>AND(JavaSpring_Syllabus!#REF!,"AAAAACvx+w8=")</f>
        <v>#ERROR!</v>
      </c>
      <c r="Q5" s="215" t="str">
        <f>AND(JavaSpring_Syllabus!#REF!,"AAAAACvx+xA=")</f>
        <v>#ERROR!</v>
      </c>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20.0"/>
    <col customWidth="1" min="3" max="3" width="52.14"/>
    <col customWidth="1" min="4" max="4" width="60.71"/>
    <col customWidth="1" min="5" max="5" width="62.29"/>
    <col customWidth="1" min="6" max="6" width="55.43"/>
    <col customWidth="1" min="7" max="26" width="8.71"/>
  </cols>
  <sheetData>
    <row r="1" ht="26.25" customHeight="1">
      <c r="B1" s="218" t="s">
        <v>322</v>
      </c>
    </row>
    <row r="2" ht="15.75" customHeight="1">
      <c r="B2" s="219" t="s">
        <v>323</v>
      </c>
    </row>
    <row r="3" ht="15.0" customHeight="1">
      <c r="B3" s="220"/>
    </row>
    <row r="4" ht="12.75" customHeight="1">
      <c r="B4" s="221" t="s">
        <v>324</v>
      </c>
      <c r="C4" s="222" t="s">
        <v>45</v>
      </c>
      <c r="D4" s="223" t="s">
        <v>325</v>
      </c>
      <c r="E4" s="224" t="s">
        <v>326</v>
      </c>
    </row>
    <row r="5" ht="25.5" customHeight="1">
      <c r="B5" s="225">
        <v>0.0</v>
      </c>
      <c r="C5" s="226" t="s">
        <v>327</v>
      </c>
      <c r="D5" s="227" t="s">
        <v>328</v>
      </c>
      <c r="E5" s="228" t="s">
        <v>329</v>
      </c>
    </row>
    <row r="6" ht="63.75" customHeight="1">
      <c r="B6" s="225">
        <v>1.0</v>
      </c>
      <c r="C6" s="226" t="s">
        <v>330</v>
      </c>
      <c r="D6" s="227" t="s">
        <v>331</v>
      </c>
      <c r="E6" s="228" t="s">
        <v>332</v>
      </c>
    </row>
    <row r="7" ht="51.0" customHeight="1">
      <c r="B7" s="225">
        <v>2.0</v>
      </c>
      <c r="C7" s="226" t="s">
        <v>333</v>
      </c>
      <c r="D7" s="227" t="s">
        <v>334</v>
      </c>
      <c r="E7" s="228" t="s">
        <v>335</v>
      </c>
    </row>
    <row r="8" ht="51.0" customHeight="1">
      <c r="B8" s="225">
        <v>3.0</v>
      </c>
      <c r="C8" s="226" t="s">
        <v>336</v>
      </c>
      <c r="D8" s="227" t="s">
        <v>337</v>
      </c>
      <c r="E8" s="228" t="s">
        <v>338</v>
      </c>
    </row>
    <row r="9" ht="63.75" customHeight="1">
      <c r="B9" s="225">
        <v>4.0</v>
      </c>
      <c r="C9" s="226" t="s">
        <v>339</v>
      </c>
      <c r="D9" s="227" t="s">
        <v>340</v>
      </c>
      <c r="E9" s="228" t="s">
        <v>341</v>
      </c>
    </row>
    <row r="10" ht="12.75" customHeight="1"/>
    <row r="11" ht="15.75" customHeight="1">
      <c r="B11" s="219" t="s">
        <v>342</v>
      </c>
    </row>
    <row r="12" ht="15.0" customHeight="1">
      <c r="B12" s="220"/>
    </row>
    <row r="13" ht="12.75" customHeight="1">
      <c r="B13" s="222" t="s">
        <v>72</v>
      </c>
      <c r="C13" s="223" t="s">
        <v>325</v>
      </c>
    </row>
    <row r="14" ht="51.0" customHeight="1">
      <c r="B14" s="229" t="s">
        <v>343</v>
      </c>
      <c r="C14" s="230" t="s">
        <v>344</v>
      </c>
    </row>
    <row r="15" ht="38.25" customHeight="1">
      <c r="B15" s="229" t="s">
        <v>345</v>
      </c>
      <c r="C15" s="230" t="s">
        <v>346</v>
      </c>
    </row>
    <row r="16" ht="12.75" customHeight="1"/>
    <row r="17" ht="12.75" customHeight="1"/>
    <row r="18" ht="15.75" customHeight="1">
      <c r="B18" s="219" t="s">
        <v>347</v>
      </c>
    </row>
    <row r="19" ht="12.75" customHeight="1"/>
    <row r="20" ht="12.75" customHeight="1">
      <c r="B20" s="231" t="s">
        <v>348</v>
      </c>
      <c r="C20" s="232" t="s">
        <v>349</v>
      </c>
    </row>
    <row r="21" ht="38.25" customHeight="1">
      <c r="B21" s="233" t="s">
        <v>350</v>
      </c>
      <c r="C21" s="234" t="s">
        <v>351</v>
      </c>
    </row>
    <row r="22" ht="25.5" customHeight="1">
      <c r="B22" s="233" t="s">
        <v>352</v>
      </c>
      <c r="C22" s="234" t="s">
        <v>353</v>
      </c>
    </row>
    <row r="23" ht="12.75" customHeight="1"/>
    <row r="24" ht="28.5" customHeight="1">
      <c r="B24" s="219" t="s">
        <v>354</v>
      </c>
    </row>
    <row r="25" ht="15.0" customHeight="1">
      <c r="B25" s="219"/>
    </row>
    <row r="26" ht="27.0" customHeight="1">
      <c r="B26" s="23" t="s">
        <v>324</v>
      </c>
      <c r="C26" s="235" t="s">
        <v>355</v>
      </c>
      <c r="D26" s="223" t="s">
        <v>356</v>
      </c>
      <c r="E26" s="223" t="s">
        <v>356</v>
      </c>
      <c r="F26" s="236" t="s">
        <v>357</v>
      </c>
    </row>
    <row r="27" ht="50.25" customHeight="1">
      <c r="B27" s="225" t="s">
        <v>358</v>
      </c>
      <c r="C27" s="226" t="s">
        <v>359</v>
      </c>
      <c r="D27" s="237" t="s">
        <v>360</v>
      </c>
      <c r="E27" s="237" t="s">
        <v>361</v>
      </c>
      <c r="F27" s="238" t="s">
        <v>362</v>
      </c>
    </row>
    <row r="28" ht="51.0" customHeight="1">
      <c r="B28" s="225" t="s">
        <v>363</v>
      </c>
      <c r="C28" s="226" t="s">
        <v>364</v>
      </c>
      <c r="D28" s="237" t="s">
        <v>365</v>
      </c>
      <c r="E28" s="237" t="s">
        <v>366</v>
      </c>
      <c r="F28" s="238" t="s">
        <v>367</v>
      </c>
    </row>
    <row r="29" ht="51.0" customHeight="1">
      <c r="B29" s="225" t="s">
        <v>368</v>
      </c>
      <c r="C29" s="226" t="s">
        <v>369</v>
      </c>
      <c r="D29" s="237" t="s">
        <v>370</v>
      </c>
      <c r="E29" s="237" t="s">
        <v>371</v>
      </c>
      <c r="F29" s="238" t="s">
        <v>372</v>
      </c>
    </row>
    <row r="30" ht="63.75" customHeight="1">
      <c r="B30" s="225" t="s">
        <v>373</v>
      </c>
      <c r="C30" s="226" t="s">
        <v>374</v>
      </c>
      <c r="D30" s="237" t="s">
        <v>375</v>
      </c>
      <c r="E30" s="237" t="s">
        <v>376</v>
      </c>
      <c r="F30" s="238" t="s">
        <v>377</v>
      </c>
    </row>
    <row r="31" ht="51.0" customHeight="1">
      <c r="B31" s="225" t="s">
        <v>378</v>
      </c>
      <c r="C31" s="226" t="s">
        <v>379</v>
      </c>
      <c r="D31" s="237" t="s">
        <v>380</v>
      </c>
      <c r="E31" s="237" t="s">
        <v>381</v>
      </c>
      <c r="F31" s="238" t="s">
        <v>382</v>
      </c>
    </row>
    <row r="32" ht="51.0" customHeight="1">
      <c r="B32" s="225" t="s">
        <v>383</v>
      </c>
      <c r="C32" s="226" t="s">
        <v>384</v>
      </c>
      <c r="D32" s="237" t="s">
        <v>385</v>
      </c>
      <c r="E32" s="237" t="s">
        <v>386</v>
      </c>
      <c r="F32" s="238" t="s">
        <v>387</v>
      </c>
    </row>
    <row r="33" ht="12.75" customHeight="1"/>
    <row r="34" ht="15.75" customHeight="1">
      <c r="B34" s="219" t="s">
        <v>388</v>
      </c>
    </row>
    <row r="35" ht="18.75" customHeight="1">
      <c r="B35" s="239"/>
    </row>
    <row r="36" ht="15.75" customHeight="1">
      <c r="B36" s="23" t="s">
        <v>11</v>
      </c>
      <c r="C36" s="23" t="s">
        <v>389</v>
      </c>
      <c r="D36" s="23" t="s">
        <v>390</v>
      </c>
    </row>
    <row r="37" ht="51.0" customHeight="1">
      <c r="B37" s="240" t="s">
        <v>210</v>
      </c>
      <c r="C37" s="241" t="s">
        <v>391</v>
      </c>
      <c r="D37" s="241" t="s">
        <v>392</v>
      </c>
    </row>
    <row r="38" ht="25.5" customHeight="1">
      <c r="B38" s="240" t="s">
        <v>36</v>
      </c>
      <c r="C38" s="241" t="s">
        <v>393</v>
      </c>
      <c r="D38" s="241" t="s">
        <v>394</v>
      </c>
    </row>
    <row r="39" ht="51.0" customHeight="1">
      <c r="B39" s="240" t="s">
        <v>395</v>
      </c>
      <c r="C39" s="241" t="s">
        <v>396</v>
      </c>
      <c r="D39" s="241" t="s">
        <v>397</v>
      </c>
    </row>
    <row r="40" ht="38.25" customHeight="1">
      <c r="B40" s="240" t="s">
        <v>398</v>
      </c>
      <c r="C40" s="241" t="s">
        <v>399</v>
      </c>
      <c r="D40" s="241" t="s">
        <v>400</v>
      </c>
    </row>
    <row r="41" ht="38.25" customHeight="1">
      <c r="B41" s="240" t="s">
        <v>235</v>
      </c>
      <c r="C41" s="241" t="s">
        <v>401</v>
      </c>
      <c r="D41" s="241" t="s">
        <v>402</v>
      </c>
    </row>
    <row r="42" ht="51.0" customHeight="1">
      <c r="B42" s="240" t="s">
        <v>403</v>
      </c>
      <c r="C42" s="241" t="s">
        <v>404</v>
      </c>
      <c r="D42" s="241" t="s">
        <v>405</v>
      </c>
    </row>
    <row r="43" ht="38.25" customHeight="1">
      <c r="B43" s="240" t="s">
        <v>227</v>
      </c>
      <c r="C43" s="241" t="s">
        <v>406</v>
      </c>
      <c r="D43" s="241" t="s">
        <v>407</v>
      </c>
    </row>
    <row r="44" ht="38.25" customHeight="1">
      <c r="B44" s="240" t="s">
        <v>408</v>
      </c>
      <c r="C44" s="241" t="s">
        <v>409</v>
      </c>
      <c r="D44" s="241" t="s">
        <v>410</v>
      </c>
    </row>
    <row r="45" ht="38.25" customHeight="1">
      <c r="B45" s="241" t="s">
        <v>411</v>
      </c>
      <c r="C45" s="241" t="s">
        <v>412</v>
      </c>
      <c r="D45" s="241" t="s">
        <v>413</v>
      </c>
    </row>
    <row r="46" ht="12.75" customHeight="1"/>
    <row r="47" ht="15.75" customHeight="1">
      <c r="B47" s="219" t="s">
        <v>414</v>
      </c>
    </row>
    <row r="48" ht="18.75" customHeight="1">
      <c r="B48" s="239"/>
    </row>
    <row r="49" ht="12.75" customHeight="1">
      <c r="B49" s="23" t="s">
        <v>415</v>
      </c>
      <c r="C49" s="23" t="s">
        <v>389</v>
      </c>
      <c r="D49" s="23" t="s">
        <v>390</v>
      </c>
    </row>
    <row r="50" ht="38.25" customHeight="1">
      <c r="B50" s="242" t="s">
        <v>416</v>
      </c>
      <c r="C50" s="243" t="s">
        <v>409</v>
      </c>
      <c r="D50" s="243" t="s">
        <v>410</v>
      </c>
    </row>
    <row r="51" ht="25.5" customHeight="1">
      <c r="B51" s="242" t="s">
        <v>279</v>
      </c>
      <c r="C51" s="243" t="s">
        <v>417</v>
      </c>
      <c r="D51" s="243" t="s">
        <v>418</v>
      </c>
    </row>
    <row r="52" ht="38.25" customHeight="1">
      <c r="B52" s="242" t="s">
        <v>419</v>
      </c>
      <c r="C52" s="243" t="s">
        <v>420</v>
      </c>
      <c r="D52" s="243" t="s">
        <v>421</v>
      </c>
    </row>
    <row r="53" ht="38.25" customHeight="1">
      <c r="B53" s="242" t="s">
        <v>422</v>
      </c>
      <c r="C53" s="243" t="s">
        <v>423</v>
      </c>
      <c r="D53" s="243" t="s">
        <v>424</v>
      </c>
    </row>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